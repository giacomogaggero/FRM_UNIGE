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isk Management Techniques\Exams\20250207\"/>
    </mc:Choice>
  </mc:AlternateContent>
  <xr:revisionPtr revIDLastSave="0" documentId="13_ncr:1_{B8C59BE4-B040-419B-921F-F786C330AAAD}" xr6:coauthVersionLast="47" xr6:coauthVersionMax="47" xr10:uidLastSave="{00000000-0000-0000-0000-000000000000}"/>
  <bookViews>
    <workbookView xWindow="-110" yWindow="-110" windowWidth="19420" windowHeight="10420" xr2:uid="{5688920F-A8DF-4C73-86A7-4040F7362286}"/>
  </bookViews>
  <sheets>
    <sheet name="BTP Valore 20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8" i="1"/>
  <c r="R26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8" i="1"/>
  <c r="T28" i="1"/>
  <c r="Q3" i="1"/>
  <c r="P10" i="1"/>
  <c r="P11" i="1" s="1"/>
  <c r="Q9" i="1"/>
  <c r="P9" i="1"/>
  <c r="Q8" i="1"/>
  <c r="J8" i="1"/>
  <c r="B3" i="1"/>
  <c r="E28" i="1" s="1"/>
  <c r="M28" i="1" s="1"/>
  <c r="T8" i="1" l="1"/>
  <c r="U8" i="1" s="1"/>
  <c r="P12" i="1"/>
  <c r="Q11" i="1"/>
  <c r="T9" i="1"/>
  <c r="Q10" i="1"/>
  <c r="J3" i="1"/>
  <c r="K26" i="1"/>
  <c r="L8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I9" i="1"/>
  <c r="J9" i="1" s="1"/>
  <c r="K8" i="1"/>
  <c r="B8" i="1"/>
  <c r="D8" i="1" s="1"/>
  <c r="C26" i="1"/>
  <c r="C20" i="1"/>
  <c r="C21" i="1"/>
  <c r="C22" i="1"/>
  <c r="C23" i="1"/>
  <c r="C24" i="1"/>
  <c r="C25" i="1"/>
  <c r="C19" i="1"/>
  <c r="C9" i="1"/>
  <c r="C10" i="1"/>
  <c r="C11" i="1"/>
  <c r="C12" i="1"/>
  <c r="C13" i="1"/>
  <c r="C14" i="1"/>
  <c r="C15" i="1"/>
  <c r="C16" i="1"/>
  <c r="C17" i="1"/>
  <c r="C18" i="1"/>
  <c r="C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B26" i="1" s="1"/>
  <c r="D26" i="1" s="1"/>
  <c r="U9" i="1" l="1"/>
  <c r="T10" i="1"/>
  <c r="U10" i="1" s="1"/>
  <c r="T11" i="1"/>
  <c r="U11" i="1" s="1"/>
  <c r="P13" i="1"/>
  <c r="Q12" i="1"/>
  <c r="E26" i="1"/>
  <c r="B14" i="1"/>
  <c r="D14" i="1" s="1"/>
  <c r="E14" i="1" s="1"/>
  <c r="B10" i="1"/>
  <c r="D10" i="1" s="1"/>
  <c r="E10" i="1" s="1"/>
  <c r="B13" i="1"/>
  <c r="D13" i="1" s="1"/>
  <c r="E13" i="1" s="1"/>
  <c r="B12" i="1"/>
  <c r="D12" i="1" s="1"/>
  <c r="E12" i="1" s="1"/>
  <c r="B9" i="1"/>
  <c r="D9" i="1" s="1"/>
  <c r="E9" i="1" s="1"/>
  <c r="B11" i="1"/>
  <c r="D11" i="1" s="1"/>
  <c r="E11" i="1" s="1"/>
  <c r="E8" i="1"/>
  <c r="B24" i="1"/>
  <c r="D24" i="1" s="1"/>
  <c r="E24" i="1" s="1"/>
  <c r="B22" i="1"/>
  <c r="D22" i="1" s="1"/>
  <c r="E22" i="1" s="1"/>
  <c r="B21" i="1"/>
  <c r="D21" i="1" s="1"/>
  <c r="E21" i="1" s="1"/>
  <c r="B20" i="1"/>
  <c r="D20" i="1" s="1"/>
  <c r="E20" i="1" s="1"/>
  <c r="I10" i="1"/>
  <c r="J10" i="1" s="1"/>
  <c r="B19" i="1"/>
  <c r="D19" i="1" s="1"/>
  <c r="E19" i="1" s="1"/>
  <c r="B18" i="1"/>
  <c r="D18" i="1" s="1"/>
  <c r="E18" i="1" s="1"/>
  <c r="B25" i="1"/>
  <c r="D25" i="1" s="1"/>
  <c r="E25" i="1" s="1"/>
  <c r="B23" i="1"/>
  <c r="D23" i="1" s="1"/>
  <c r="E23" i="1" s="1"/>
  <c r="B17" i="1"/>
  <c r="D17" i="1" s="1"/>
  <c r="E17" i="1" s="1"/>
  <c r="B16" i="1"/>
  <c r="D16" i="1" s="1"/>
  <c r="E16" i="1" s="1"/>
  <c r="B15" i="1"/>
  <c r="D15" i="1" s="1"/>
  <c r="E15" i="1" s="1"/>
  <c r="M8" i="1"/>
  <c r="P14" i="1" l="1"/>
  <c r="Q13" i="1"/>
  <c r="T12" i="1"/>
  <c r="U12" i="1" s="1"/>
  <c r="L10" i="1"/>
  <c r="M10" i="1" s="1"/>
  <c r="L9" i="1"/>
  <c r="M9" i="1" s="1"/>
  <c r="E27" i="1"/>
  <c r="E29" i="1" s="1"/>
  <c r="I11" i="1"/>
  <c r="J11" i="1" s="1"/>
  <c r="T13" i="1" l="1"/>
  <c r="U13" i="1" s="1"/>
  <c r="P15" i="1"/>
  <c r="Q14" i="1"/>
  <c r="L11" i="1"/>
  <c r="M11" i="1" s="1"/>
  <c r="I12" i="1"/>
  <c r="J12" i="1" s="1"/>
  <c r="Q15" i="1" l="1"/>
  <c r="P16" i="1"/>
  <c r="T14" i="1"/>
  <c r="U14" i="1" s="1"/>
  <c r="I13" i="1"/>
  <c r="J13" i="1" s="1"/>
  <c r="L12" i="1"/>
  <c r="M12" i="1" s="1"/>
  <c r="P17" i="1" l="1"/>
  <c r="Q16" i="1"/>
  <c r="T15" i="1"/>
  <c r="U15" i="1" s="1"/>
  <c r="I14" i="1"/>
  <c r="J14" i="1" s="1"/>
  <c r="L14" i="1" s="1"/>
  <c r="M14" i="1" s="1"/>
  <c r="L13" i="1"/>
  <c r="M13" i="1" s="1"/>
  <c r="T16" i="1" l="1"/>
  <c r="U16" i="1" s="1"/>
  <c r="P18" i="1"/>
  <c r="Q17" i="1"/>
  <c r="I15" i="1"/>
  <c r="J15" i="1" s="1"/>
  <c r="L15" i="1" s="1"/>
  <c r="M15" i="1" s="1"/>
  <c r="T17" i="1" l="1"/>
  <c r="U17" i="1" s="1"/>
  <c r="P19" i="1"/>
  <c r="Q18" i="1"/>
  <c r="I16" i="1"/>
  <c r="J16" i="1" s="1"/>
  <c r="L16" i="1" s="1"/>
  <c r="M16" i="1" s="1"/>
  <c r="P20" i="1" l="1"/>
  <c r="Q19" i="1"/>
  <c r="T18" i="1"/>
  <c r="U18" i="1" s="1"/>
  <c r="I17" i="1"/>
  <c r="J17" i="1" s="1"/>
  <c r="L17" i="1" s="1"/>
  <c r="M17" i="1" s="1"/>
  <c r="T19" i="1" l="1"/>
  <c r="U19" i="1" s="1"/>
  <c r="P21" i="1"/>
  <c r="Q20" i="1"/>
  <c r="I18" i="1"/>
  <c r="J18" i="1" s="1"/>
  <c r="L18" i="1" s="1"/>
  <c r="M18" i="1" s="1"/>
  <c r="P22" i="1" l="1"/>
  <c r="Q21" i="1"/>
  <c r="T20" i="1"/>
  <c r="U20" i="1" s="1"/>
  <c r="I19" i="1"/>
  <c r="J19" i="1" s="1"/>
  <c r="L19" i="1" s="1"/>
  <c r="M19" i="1" s="1"/>
  <c r="T21" i="1" l="1"/>
  <c r="U21" i="1" s="1"/>
  <c r="P23" i="1"/>
  <c r="Q22" i="1"/>
  <c r="I20" i="1"/>
  <c r="J20" i="1" s="1"/>
  <c r="L20" i="1" s="1"/>
  <c r="M20" i="1" s="1"/>
  <c r="P24" i="1" l="1"/>
  <c r="Q23" i="1"/>
  <c r="T22" i="1"/>
  <c r="U22" i="1" s="1"/>
  <c r="I21" i="1"/>
  <c r="J21" i="1" s="1"/>
  <c r="L21" i="1" s="1"/>
  <c r="M21" i="1" s="1"/>
  <c r="T23" i="1" l="1"/>
  <c r="U23" i="1" s="1"/>
  <c r="P25" i="1"/>
  <c r="Q24" i="1"/>
  <c r="I22" i="1"/>
  <c r="J22" i="1" s="1"/>
  <c r="L22" i="1" s="1"/>
  <c r="M22" i="1" s="1"/>
  <c r="P26" i="1" l="1"/>
  <c r="Q26" i="1" s="1"/>
  <c r="Q25" i="1"/>
  <c r="T24" i="1"/>
  <c r="U24" i="1" s="1"/>
  <c r="I23" i="1"/>
  <c r="J23" i="1" s="1"/>
  <c r="L23" i="1" s="1"/>
  <c r="M23" i="1" s="1"/>
  <c r="T25" i="1" l="1"/>
  <c r="U25" i="1" s="1"/>
  <c r="T26" i="1"/>
  <c r="I24" i="1"/>
  <c r="J24" i="1" s="1"/>
  <c r="L24" i="1" s="1"/>
  <c r="M24" i="1" s="1"/>
  <c r="T27" i="1" l="1"/>
  <c r="T29" i="1" s="1"/>
  <c r="U26" i="1"/>
  <c r="I25" i="1"/>
  <c r="J25" i="1" s="1"/>
  <c r="L25" i="1" s="1"/>
  <c r="M25" i="1" s="1"/>
  <c r="I26" i="1" l="1"/>
  <c r="J26" i="1" s="1"/>
  <c r="L26" i="1" s="1"/>
  <c r="M26" i="1" s="1"/>
  <c r="M27" i="1" s="1"/>
  <c r="N26" i="1" l="1"/>
  <c r="M29" i="1"/>
  <c r="N8" i="1"/>
  <c r="N10" i="1"/>
  <c r="N9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M30" i="1" l="1"/>
  <c r="M31" i="1" s="1"/>
</calcChain>
</file>

<file path=xl/sharedStrings.xml><?xml version="1.0" encoding="utf-8"?>
<sst xmlns="http://schemas.openxmlformats.org/spreadsheetml/2006/main" count="41" uniqueCount="25">
  <si>
    <t xml:space="preserve">Ref Date </t>
  </si>
  <si>
    <t>Payment Dates</t>
  </si>
  <si>
    <t>Prev Payment Date</t>
  </si>
  <si>
    <t>CF</t>
  </si>
  <si>
    <t>YTM</t>
  </si>
  <si>
    <t>NPV</t>
  </si>
  <si>
    <t>DF</t>
  </si>
  <si>
    <t>T</t>
  </si>
  <si>
    <t>Dirty Price</t>
  </si>
  <si>
    <t>Accrued Int</t>
  </si>
  <si>
    <t>Clean Price</t>
  </si>
  <si>
    <t>Settle Date</t>
  </si>
  <si>
    <t>Reference Bond</t>
  </si>
  <si>
    <t>IT0005565400</t>
  </si>
  <si>
    <t>weights</t>
  </si>
  <si>
    <t>Duration</t>
  </si>
  <si>
    <t>Mod Dur</t>
  </si>
  <si>
    <t>Goal Seeking</t>
  </si>
  <si>
    <t>Gross YTM</t>
  </si>
  <si>
    <t>Net Accrued Int</t>
  </si>
  <si>
    <t>Gross Accrued Int</t>
  </si>
  <si>
    <t>Gross Clean Price</t>
  </si>
  <si>
    <t>Net Clean Price</t>
  </si>
  <si>
    <t>Gross CF</t>
  </si>
  <si>
    <t>Net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</si>
</sst>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%"/>
    <numFmt numFmtId="165" formatCode="0.00000%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0" fontId="0" fillId="0" borderId="0" xfId="2" applyNumberFormat="1" applyFont="1"/>
    <xf numFmtId="43" fontId="0" fillId="0" borderId="0" xfId="1" applyFont="1"/>
    <xf numFmtId="2" fontId="0" fillId="0" borderId="0" xfId="0" applyNumberFormat="1"/>
    <xf numFmtId="0" fontId="0" fillId="0" borderId="1" xfId="0" applyBorder="1"/>
    <xf numFmtId="14" fontId="0" fillId="0" borderId="1" xfId="0" applyNumberFormat="1" applyBorder="1"/>
    <xf numFmtId="9" fontId="0" fillId="0" borderId="1" xfId="2" applyFont="1" applyBorder="1"/>
    <xf numFmtId="0" fontId="0" fillId="0" borderId="0" xfId="0" applyAlignment="1">
      <alignment horizontal="left"/>
    </xf>
    <xf numFmtId="165" fontId="0" fillId="0" borderId="0" xfId="2" applyNumberFormat="1" applyFont="1"/>
    <xf numFmtId="0" fontId="0" fillId="2" borderId="1" xfId="0" applyFill="1" applyBorder="1"/>
    <xf numFmtId="164" fontId="0" fillId="2" borderId="1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13</xdr:row>
      <xdr:rowOff>76200</xdr:rowOff>
    </xdr:from>
    <xdr:to>
      <xdr:col>7</xdr:col>
      <xdr:colOff>504825</xdr:colOff>
      <xdr:row>15</xdr:row>
      <xdr:rowOff>95250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C929CD19-1019-4063-9205-A17F80902301}"/>
            </a:ext>
          </a:extLst>
        </xdr:cNvPr>
        <xdr:cNvSpPr/>
      </xdr:nvSpPr>
      <xdr:spPr>
        <a:xfrm>
          <a:off x="4391025" y="2181225"/>
          <a:ext cx="942975" cy="3429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twoCellAnchor editAs="oneCell">
    <xdr:from>
      <xdr:col>21</xdr:col>
      <xdr:colOff>815515</xdr:colOff>
      <xdr:row>0</xdr:row>
      <xdr:rowOff>0</xdr:rowOff>
    </xdr:from>
    <xdr:to>
      <xdr:col>30</xdr:col>
      <xdr:colOff>446810</xdr:colOff>
      <xdr:row>25</xdr:row>
      <xdr:rowOff>152373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4F4E66C6-9440-4E7C-846E-D6E47D140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23851" y="0"/>
          <a:ext cx="5446741" cy="4048964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28</xdr:row>
      <xdr:rowOff>0</xdr:rowOff>
    </xdr:from>
    <xdr:to>
      <xdr:col>32</xdr:col>
      <xdr:colOff>448073</xdr:colOff>
      <xdr:row>51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C9C3DB-87C0-8962-D0CA-591BB0F09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78600" y="4267200"/>
          <a:ext cx="6544073" cy="3543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A161-D6CF-4532-A010-259B465BEB2F}">
  <dimension ref="A1:V37"/>
  <sheetViews>
    <sheetView tabSelected="1" topLeftCell="K1" zoomScale="99" zoomScaleNormal="99" workbookViewId="0">
      <selection activeCell="M5" sqref="M5"/>
    </sheetView>
  </sheetViews>
  <sheetFormatPr defaultRowHeight="12.5" x14ac:dyDescent="0.25"/>
  <cols>
    <col min="1" max="1" width="17.26953125" bestFit="1" customWidth="1"/>
    <col min="2" max="2" width="12.81640625" bestFit="1" customWidth="1"/>
    <col min="4" max="5" width="12" bestFit="1" customWidth="1"/>
    <col min="7" max="7" width="12.1796875" bestFit="1" customWidth="1"/>
    <col min="9" max="9" width="14" bestFit="1" customWidth="1"/>
    <col min="10" max="10" width="12" bestFit="1" customWidth="1"/>
    <col min="11" max="11" width="10.26953125" customWidth="1"/>
    <col min="12" max="12" width="15.81640625" bestFit="1" customWidth="1"/>
    <col min="14" max="14" width="13.6328125" bestFit="1" customWidth="1"/>
    <col min="15" max="18" width="13.6328125" customWidth="1"/>
    <col min="19" max="19" width="15.81640625" bestFit="1" customWidth="1"/>
    <col min="20" max="22" width="13.6328125" customWidth="1"/>
  </cols>
  <sheetData>
    <row r="1" spans="1:21" x14ac:dyDescent="0.25">
      <c r="A1" s="5" t="s">
        <v>12</v>
      </c>
      <c r="B1" s="5" t="s">
        <v>13</v>
      </c>
    </row>
    <row r="2" spans="1:21" x14ac:dyDescent="0.25">
      <c r="A2" s="5" t="s">
        <v>0</v>
      </c>
      <c r="B2" s="6">
        <v>45352</v>
      </c>
      <c r="I2" s="5" t="s">
        <v>0</v>
      </c>
      <c r="J2" s="6">
        <v>45352</v>
      </c>
      <c r="P2" s="5" t="s">
        <v>0</v>
      </c>
      <c r="Q2" s="6">
        <v>45352</v>
      </c>
    </row>
    <row r="3" spans="1:21" x14ac:dyDescent="0.25">
      <c r="A3" s="5" t="s">
        <v>11</v>
      </c>
      <c r="B3" s="6">
        <f>+WORKDAY(B2,2)</f>
        <v>45356</v>
      </c>
      <c r="I3" s="5" t="s">
        <v>2</v>
      </c>
      <c r="J3" s="6">
        <f>+B3</f>
        <v>45356</v>
      </c>
      <c r="P3" s="5" t="s">
        <v>2</v>
      </c>
      <c r="Q3" s="6">
        <f>+J3</f>
        <v>45356</v>
      </c>
    </row>
    <row r="4" spans="1:21" x14ac:dyDescent="0.25">
      <c r="A4" s="5" t="s">
        <v>2</v>
      </c>
      <c r="B4" s="6">
        <v>45301</v>
      </c>
      <c r="I4" s="5" t="s">
        <v>18</v>
      </c>
      <c r="J4" s="11">
        <v>3.6762649025396874E-2</v>
      </c>
      <c r="P4" s="5" t="s">
        <v>18</v>
      </c>
      <c r="Q4" s="11">
        <v>3.1397392732833367E-2</v>
      </c>
    </row>
    <row r="5" spans="1:21" x14ac:dyDescent="0.25">
      <c r="A5" s="5" t="s">
        <v>4</v>
      </c>
      <c r="B5" s="7">
        <v>0.01</v>
      </c>
      <c r="J5" s="9"/>
      <c r="Q5" s="9"/>
    </row>
    <row r="7" spans="1:21" x14ac:dyDescent="0.25">
      <c r="A7" s="5" t="s">
        <v>1</v>
      </c>
      <c r="B7" s="5" t="s">
        <v>7</v>
      </c>
      <c r="C7" s="5" t="s">
        <v>3</v>
      </c>
      <c r="D7" s="5" t="s">
        <v>6</v>
      </c>
      <c r="E7" s="5" t="s">
        <v>5</v>
      </c>
      <c r="I7" s="5" t="s">
        <v>1</v>
      </c>
      <c r="J7" s="5" t="s">
        <v>7</v>
      </c>
      <c r="K7" s="5" t="s">
        <v>23</v>
      </c>
      <c r="L7" s="5" t="s">
        <v>6</v>
      </c>
      <c r="M7" s="5" t="s">
        <v>5</v>
      </c>
      <c r="N7" s="5" t="s">
        <v>14</v>
      </c>
      <c r="P7" s="5" t="s">
        <v>1</v>
      </c>
      <c r="Q7" s="5" t="s">
        <v>7</v>
      </c>
      <c r="R7" s="5" t="s">
        <v>24</v>
      </c>
      <c r="S7" s="5" t="s">
        <v>6</v>
      </c>
      <c r="T7" s="5" t="s">
        <v>5</v>
      </c>
      <c r="U7" s="5" t="s">
        <v>14</v>
      </c>
    </row>
    <row r="8" spans="1:21" x14ac:dyDescent="0.25">
      <c r="A8" s="6">
        <v>45392</v>
      </c>
      <c r="B8" s="5">
        <f>+YEARFRAC($B$2,A8,1)</f>
        <v>0.10928961748633879</v>
      </c>
      <c r="C8" s="5">
        <f>4.1/4</f>
        <v>1.0249999999999999</v>
      </c>
      <c r="D8" s="5">
        <f t="shared" ref="D8:D26" si="0">1/(1+$B$5)^B8</f>
        <v>0.99891312322608106</v>
      </c>
      <c r="E8" s="5">
        <f>+C8*D8</f>
        <v>1.0238859513067331</v>
      </c>
      <c r="I8" s="6">
        <v>45392</v>
      </c>
      <c r="J8" s="5">
        <f>+YEARFRAC($J$2,I8,4)</f>
        <v>0.10833333333333334</v>
      </c>
      <c r="K8" s="5">
        <f>4.1/4</f>
        <v>1.0249999999999999</v>
      </c>
      <c r="L8" s="5">
        <f>1/(1+$J$4)^J8</f>
        <v>0.99609647804850754</v>
      </c>
      <c r="M8" s="5">
        <f>+K8*L8</f>
        <v>1.0209988899997202</v>
      </c>
      <c r="N8" s="5">
        <f>+J8*M8/$M$27</f>
        <v>1.0709600819688082E-3</v>
      </c>
      <c r="P8" s="6">
        <v>45392</v>
      </c>
      <c r="Q8" s="5">
        <f>+YEARFRAC($J$2,P8,4)</f>
        <v>0.10833333333333334</v>
      </c>
      <c r="R8" s="5">
        <f>+K8*(1-0.125)</f>
        <v>0.89687499999999987</v>
      </c>
      <c r="S8" s="5">
        <f>1/(1+$Q$4)^Q8</f>
        <v>0.99665652297916707</v>
      </c>
      <c r="T8" s="5">
        <f>+R8*S8</f>
        <v>0.89387631904694032</v>
      </c>
      <c r="U8" s="5">
        <f>+Q8*T8/$M$27</f>
        <v>9.3761694091239417E-4</v>
      </c>
    </row>
    <row r="9" spans="1:21" x14ac:dyDescent="0.25">
      <c r="A9" s="6">
        <f t="shared" ref="A9:A26" si="1">+EDATE(A8,3)</f>
        <v>45483</v>
      </c>
      <c r="B9" s="5">
        <f t="shared" ref="B9:B26" si="2">+YEARFRAC($B$2,A9,1)</f>
        <v>0.35792349726775957</v>
      </c>
      <c r="C9" s="5">
        <f t="shared" ref="C9:C18" si="3">4.1/4</f>
        <v>1.0249999999999999</v>
      </c>
      <c r="D9" s="5">
        <f t="shared" si="0"/>
        <v>0.99644487724861197</v>
      </c>
      <c r="E9" s="5">
        <f t="shared" ref="E9:E26" si="4">+C9*D9</f>
        <v>1.0213559991798271</v>
      </c>
      <c r="I9" s="6">
        <f t="shared" ref="I9:I26" si="5">+EDATE(I8,3)</f>
        <v>45483</v>
      </c>
      <c r="J9" s="5">
        <f t="shared" ref="J9:J26" si="6">+YEARFRAC($J$2,I9,0)</f>
        <v>0.35833333333333334</v>
      </c>
      <c r="K9" s="5">
        <f t="shared" ref="K9:K18" si="7">4.1/4</f>
        <v>1.0249999999999999</v>
      </c>
      <c r="L9" s="5">
        <f t="shared" ref="L9:L26" si="8">1/(1+$J$4)^J9</f>
        <v>0.98714640643839857</v>
      </c>
      <c r="M9" s="5">
        <f t="shared" ref="M9:M26" si="9">+K9*L9</f>
        <v>1.0118250665993584</v>
      </c>
      <c r="N9" s="5">
        <f t="shared" ref="N9:N26" si="10">+J9*M9/$M$27</f>
        <v>3.5105773884553802E-3</v>
      </c>
      <c r="P9" s="6">
        <f t="shared" ref="P9:P26" si="11">+EDATE(P8,3)</f>
        <v>45483</v>
      </c>
      <c r="Q9" s="5">
        <f t="shared" ref="Q9:Q26" si="12">+YEARFRAC($J$2,P9,0)</f>
        <v>0.35833333333333334</v>
      </c>
      <c r="R9" s="5">
        <f t="shared" ref="R9:R25" si="13">+K9*(1-0.125)</f>
        <v>0.89687499999999987</v>
      </c>
      <c r="S9" s="5">
        <f t="shared" ref="S9:S26" si="14">1/(1+$Q$4)^Q9</f>
        <v>0.9889834094111748</v>
      </c>
      <c r="T9" s="5">
        <f t="shared" ref="T9:T26" si="15">+R9*S9</f>
        <v>0.88699449531564722</v>
      </c>
      <c r="U9" s="5">
        <f t="shared" ref="U9:U26" si="16">+Q9*T9/$M$27</f>
        <v>3.0774715133366683E-3</v>
      </c>
    </row>
    <row r="10" spans="1:21" x14ac:dyDescent="0.25">
      <c r="A10" s="6">
        <f t="shared" si="1"/>
        <v>45575</v>
      </c>
      <c r="B10" s="5">
        <f t="shared" si="2"/>
        <v>0.60928961748633881</v>
      </c>
      <c r="C10" s="5">
        <f t="shared" si="3"/>
        <v>1.0249999999999999</v>
      </c>
      <c r="D10" s="5">
        <f t="shared" si="0"/>
        <v>0.99395570739876427</v>
      </c>
      <c r="E10" s="5">
        <f t="shared" si="4"/>
        <v>1.0188046000837332</v>
      </c>
      <c r="I10" s="6">
        <f t="shared" si="5"/>
        <v>45575</v>
      </c>
      <c r="J10" s="5">
        <f t="shared" si="6"/>
        <v>0.60833333333333328</v>
      </c>
      <c r="K10" s="5">
        <f t="shared" si="7"/>
        <v>1.0249999999999999</v>
      </c>
      <c r="L10" s="5">
        <f t="shared" si="8"/>
        <v>0.97827675252234991</v>
      </c>
      <c r="M10" s="5">
        <f t="shared" si="9"/>
        <v>1.0027336713354085</v>
      </c>
      <c r="N10" s="5">
        <f t="shared" si="10"/>
        <v>5.9062676012385613E-3</v>
      </c>
      <c r="P10" s="6">
        <f t="shared" si="11"/>
        <v>45575</v>
      </c>
      <c r="Q10" s="5">
        <f t="shared" si="12"/>
        <v>0.60833333333333328</v>
      </c>
      <c r="R10" s="5">
        <f t="shared" si="13"/>
        <v>0.89687499999999987</v>
      </c>
      <c r="S10" s="5">
        <f t="shared" si="14"/>
        <v>0.98136937002818991</v>
      </c>
      <c r="T10" s="5">
        <f t="shared" si="15"/>
        <v>0.88016565374403266</v>
      </c>
      <c r="U10" s="5">
        <f t="shared" si="16"/>
        <v>5.1843216529351725E-3</v>
      </c>
    </row>
    <row r="11" spans="1:21" x14ac:dyDescent="0.25">
      <c r="A11" s="6">
        <f t="shared" si="1"/>
        <v>45667</v>
      </c>
      <c r="B11" s="5">
        <f t="shared" si="2"/>
        <v>0.86301369863013699</v>
      </c>
      <c r="C11" s="5">
        <f t="shared" si="3"/>
        <v>1.0249999999999999</v>
      </c>
      <c r="D11" s="5">
        <f t="shared" si="0"/>
        <v>0.99144949347341682</v>
      </c>
      <c r="E11" s="5">
        <f t="shared" si="4"/>
        <v>1.0162357308102521</v>
      </c>
      <c r="I11" s="6">
        <f t="shared" si="5"/>
        <v>45667</v>
      </c>
      <c r="J11" s="5">
        <f t="shared" si="6"/>
        <v>0.85833333333333328</v>
      </c>
      <c r="K11" s="5">
        <f t="shared" si="7"/>
        <v>1.0249999999999999</v>
      </c>
      <c r="L11" s="5">
        <f t="shared" si="8"/>
        <v>0.96948679373569346</v>
      </c>
      <c r="M11" s="5">
        <f t="shared" si="9"/>
        <v>0.99372396357908577</v>
      </c>
      <c r="N11" s="5">
        <f t="shared" si="10"/>
        <v>8.2586231457343288E-3</v>
      </c>
      <c r="P11" s="6">
        <f t="shared" si="11"/>
        <v>45667</v>
      </c>
      <c r="Q11" s="5">
        <f t="shared" si="12"/>
        <v>0.85833333333333328</v>
      </c>
      <c r="R11" s="5">
        <f t="shared" si="13"/>
        <v>0.89687499999999987</v>
      </c>
      <c r="S11" s="5">
        <f t="shared" si="14"/>
        <v>0.97381395002665661</v>
      </c>
      <c r="T11" s="5">
        <f t="shared" si="15"/>
        <v>0.87338938643015751</v>
      </c>
      <c r="U11" s="5">
        <f t="shared" si="16"/>
        <v>7.2585487181287605E-3</v>
      </c>
    </row>
    <row r="12" spans="1:21" x14ac:dyDescent="0.25">
      <c r="A12" s="6">
        <f t="shared" si="1"/>
        <v>45757</v>
      </c>
      <c r="B12" s="5">
        <f t="shared" si="2"/>
        <v>1.1080711354309165</v>
      </c>
      <c r="C12" s="5">
        <f t="shared" si="3"/>
        <v>1.0249999999999999</v>
      </c>
      <c r="D12" s="5">
        <f t="shared" si="0"/>
        <v>0.9890348855658132</v>
      </c>
      <c r="E12" s="5">
        <f t="shared" si="4"/>
        <v>1.0137607577049585</v>
      </c>
      <c r="G12" s="8" t="s">
        <v>17</v>
      </c>
      <c r="I12" s="6">
        <f t="shared" si="5"/>
        <v>45757</v>
      </c>
      <c r="J12" s="5">
        <f t="shared" si="6"/>
        <v>1.1083333333333334</v>
      </c>
      <c r="K12" s="5">
        <f t="shared" si="7"/>
        <v>1.0249999999999999</v>
      </c>
      <c r="L12" s="5">
        <f t="shared" si="8"/>
        <v>0.9607758140061109</v>
      </c>
      <c r="M12" s="5">
        <f t="shared" si="9"/>
        <v>0.98479520935626363</v>
      </c>
      <c r="N12" s="5">
        <f t="shared" si="10"/>
        <v>1.056822934766063E-2</v>
      </c>
      <c r="P12" s="6">
        <f t="shared" si="11"/>
        <v>45757</v>
      </c>
      <c r="Q12" s="5">
        <f t="shared" si="12"/>
        <v>1.1083333333333334</v>
      </c>
      <c r="R12" s="5">
        <f t="shared" si="13"/>
        <v>0.89687499999999987</v>
      </c>
      <c r="S12" s="5">
        <f t="shared" si="14"/>
        <v>0.96631669810448584</v>
      </c>
      <c r="T12" s="5">
        <f t="shared" si="15"/>
        <v>0.86666528861246062</v>
      </c>
      <c r="U12" s="5">
        <f t="shared" si="16"/>
        <v>9.3005301515429427E-3</v>
      </c>
    </row>
    <row r="13" spans="1:21" x14ac:dyDescent="0.25">
      <c r="A13" s="6">
        <f t="shared" si="1"/>
        <v>45848</v>
      </c>
      <c r="B13" s="5">
        <f t="shared" si="2"/>
        <v>1.3570451436388509</v>
      </c>
      <c r="C13" s="5">
        <f t="shared" si="3"/>
        <v>1.0249999999999999</v>
      </c>
      <c r="D13" s="5">
        <f t="shared" si="0"/>
        <v>0.98658770903409199</v>
      </c>
      <c r="E13" s="5">
        <f t="shared" si="4"/>
        <v>1.0112524017599442</v>
      </c>
      <c r="I13" s="6">
        <f t="shared" si="5"/>
        <v>45848</v>
      </c>
      <c r="J13" s="5">
        <f t="shared" si="6"/>
        <v>1.3583333333333334</v>
      </c>
      <c r="K13" s="5">
        <f t="shared" si="7"/>
        <v>1.0249999999999999</v>
      </c>
      <c r="L13" s="5">
        <f t="shared" si="8"/>
        <v>0.95214310369529631</v>
      </c>
      <c r="M13" s="5">
        <f t="shared" si="9"/>
        <v>0.97594668128767859</v>
      </c>
      <c r="N13" s="5">
        <f t="shared" si="10"/>
        <v>1.2835664512792803E-2</v>
      </c>
      <c r="P13" s="6">
        <f t="shared" si="11"/>
        <v>45848</v>
      </c>
      <c r="Q13" s="5">
        <f t="shared" si="12"/>
        <v>1.3583333333333334</v>
      </c>
      <c r="R13" s="5">
        <f t="shared" si="13"/>
        <v>0.89687499999999987</v>
      </c>
      <c r="S13" s="5">
        <f t="shared" si="14"/>
        <v>0.95887716643409704</v>
      </c>
      <c r="T13" s="5">
        <f t="shared" si="15"/>
        <v>0.85999295864558067</v>
      </c>
      <c r="U13" s="5">
        <f t="shared" si="16"/>
        <v>1.1310639517698139E-2</v>
      </c>
    </row>
    <row r="14" spans="1:21" x14ac:dyDescent="0.25">
      <c r="A14" s="6">
        <f t="shared" si="1"/>
        <v>45940</v>
      </c>
      <c r="B14" s="5">
        <f t="shared" si="2"/>
        <v>1.6087551299589604</v>
      </c>
      <c r="C14" s="5">
        <f t="shared" si="3"/>
        <v>1.0249999999999999</v>
      </c>
      <c r="D14" s="5">
        <f t="shared" si="0"/>
        <v>0.98411979563864005</v>
      </c>
      <c r="E14" s="5">
        <f t="shared" si="4"/>
        <v>1.0087227905296059</v>
      </c>
      <c r="I14" s="6">
        <f t="shared" si="5"/>
        <v>45940</v>
      </c>
      <c r="J14" s="5">
        <f t="shared" si="6"/>
        <v>1.6083333333333334</v>
      </c>
      <c r="K14" s="5">
        <f t="shared" si="7"/>
        <v>1.0249999999999999</v>
      </c>
      <c r="L14" s="5">
        <f t="shared" si="8"/>
        <v>0.94358795954114816</v>
      </c>
      <c r="M14" s="5">
        <f t="shared" si="9"/>
        <v>0.96717765852967674</v>
      </c>
      <c r="N14" s="5">
        <f t="shared" si="10"/>
        <v>1.5061500005859034E-2</v>
      </c>
      <c r="P14" s="6">
        <f t="shared" si="11"/>
        <v>45940</v>
      </c>
      <c r="Q14" s="5">
        <f t="shared" si="12"/>
        <v>1.6083333333333334</v>
      </c>
      <c r="R14" s="5">
        <f t="shared" si="13"/>
        <v>0.89687499999999987</v>
      </c>
      <c r="S14" s="5">
        <f t="shared" si="14"/>
        <v>0.9514949106356696</v>
      </c>
      <c r="T14" s="5">
        <f t="shared" si="15"/>
        <v>0.85337199797636609</v>
      </c>
      <c r="U14" s="5">
        <f t="shared" si="16"/>
        <v>1.3289246540351711E-2</v>
      </c>
    </row>
    <row r="15" spans="1:21" x14ac:dyDescent="0.25">
      <c r="A15" s="6">
        <f t="shared" si="1"/>
        <v>46032</v>
      </c>
      <c r="B15" s="5">
        <f t="shared" si="2"/>
        <v>1.8613138686131387</v>
      </c>
      <c r="C15" s="5">
        <f t="shared" si="3"/>
        <v>1.0249999999999999</v>
      </c>
      <c r="D15" s="5">
        <f t="shared" si="0"/>
        <v>0.98164976521201253</v>
      </c>
      <c r="E15" s="5">
        <f t="shared" si="4"/>
        <v>1.0061910093423128</v>
      </c>
      <c r="I15" s="6">
        <f t="shared" si="5"/>
        <v>46032</v>
      </c>
      <c r="J15" s="5">
        <f t="shared" si="6"/>
        <v>1.8583333333333334</v>
      </c>
      <c r="K15" s="5">
        <f t="shared" si="7"/>
        <v>1.0249999999999999</v>
      </c>
      <c r="L15" s="5">
        <f t="shared" si="8"/>
        <v>0.93510968460047661</v>
      </c>
      <c r="M15" s="5">
        <f t="shared" si="9"/>
        <v>0.95848742671548848</v>
      </c>
      <c r="N15" s="5">
        <f t="shared" si="10"/>
        <v>1.7246300328584679E-2</v>
      </c>
      <c r="P15" s="6">
        <f t="shared" si="11"/>
        <v>46032</v>
      </c>
      <c r="Q15" s="5">
        <f t="shared" si="12"/>
        <v>1.8583333333333334</v>
      </c>
      <c r="R15" s="5">
        <f t="shared" si="13"/>
        <v>0.89687499999999987</v>
      </c>
      <c r="S15" s="5">
        <f t="shared" si="14"/>
        <v>0.94416948975059845</v>
      </c>
      <c r="T15" s="5">
        <f t="shared" si="15"/>
        <v>0.84680201112006781</v>
      </c>
      <c r="U15" s="5">
        <f t="shared" si="16"/>
        <v>1.5236717139494847E-2</v>
      </c>
    </row>
    <row r="16" spans="1:21" x14ac:dyDescent="0.25">
      <c r="A16" s="6">
        <f t="shared" si="1"/>
        <v>46122</v>
      </c>
      <c r="B16" s="5">
        <f t="shared" si="2"/>
        <v>2.1076642335766422</v>
      </c>
      <c r="C16" s="5">
        <f t="shared" si="3"/>
        <v>1.0249999999999999</v>
      </c>
      <c r="D16" s="5">
        <f t="shared" si="0"/>
        <v>0.97924642572906007</v>
      </c>
      <c r="E16" s="5">
        <f t="shared" si="4"/>
        <v>1.0037275863722865</v>
      </c>
      <c r="I16" s="6">
        <f t="shared" si="5"/>
        <v>46122</v>
      </c>
      <c r="J16" s="5">
        <f t="shared" si="6"/>
        <v>2.1083333333333334</v>
      </c>
      <c r="K16" s="5">
        <f t="shared" si="7"/>
        <v>1.0249999999999999</v>
      </c>
      <c r="L16" s="5">
        <f t="shared" si="8"/>
        <v>0.92670758819222787</v>
      </c>
      <c r="M16" s="5">
        <f t="shared" si="9"/>
        <v>0.94987527789703352</v>
      </c>
      <c r="N16" s="5">
        <f t="shared" si="10"/>
        <v>1.9390623196894552E-2</v>
      </c>
      <c r="P16" s="6">
        <f t="shared" si="11"/>
        <v>46122</v>
      </c>
      <c r="Q16" s="5">
        <f t="shared" si="12"/>
        <v>2.1083333333333334</v>
      </c>
      <c r="R16" s="5">
        <f t="shared" si="13"/>
        <v>0.89687499999999987</v>
      </c>
      <c r="S16" s="5">
        <f t="shared" si="14"/>
        <v>0.93690046621515399</v>
      </c>
      <c r="T16" s="5">
        <f t="shared" si="15"/>
        <v>0.84028260563671608</v>
      </c>
      <c r="U16" s="5">
        <f t="shared" si="16"/>
        <v>1.7153413468007458E-2</v>
      </c>
    </row>
    <row r="17" spans="1:22" x14ac:dyDescent="0.25">
      <c r="A17" s="6">
        <f t="shared" si="1"/>
        <v>46213</v>
      </c>
      <c r="B17" s="5">
        <f t="shared" si="2"/>
        <v>2.3567518248175183</v>
      </c>
      <c r="C17" s="5">
        <f t="shared" si="3"/>
        <v>1.0249999999999999</v>
      </c>
      <c r="D17" s="5">
        <f t="shared" si="0"/>
        <v>0.97682236486360396</v>
      </c>
      <c r="E17" s="5">
        <f t="shared" si="4"/>
        <v>1.0012429239851939</v>
      </c>
      <c r="I17" s="6">
        <f t="shared" si="5"/>
        <v>46213</v>
      </c>
      <c r="J17" s="5">
        <f t="shared" si="6"/>
        <v>2.3583333333333334</v>
      </c>
      <c r="K17" s="5">
        <f t="shared" si="7"/>
        <v>1.0249999999999999</v>
      </c>
      <c r="L17" s="5">
        <f t="shared" si="8"/>
        <v>0.91838098584121763</v>
      </c>
      <c r="M17" s="5">
        <f t="shared" si="9"/>
        <v>0.94134051048724798</v>
      </c>
      <c r="N17" s="5">
        <f t="shared" si="10"/>
        <v>2.1495019617281879E-2</v>
      </c>
      <c r="P17" s="6">
        <f t="shared" si="11"/>
        <v>46213</v>
      </c>
      <c r="Q17" s="5">
        <f t="shared" si="12"/>
        <v>2.3583333333333334</v>
      </c>
      <c r="R17" s="5">
        <f t="shared" si="13"/>
        <v>0.89687499999999987</v>
      </c>
      <c r="S17" s="5">
        <f t="shared" si="14"/>
        <v>0.92968740583434717</v>
      </c>
      <c r="T17" s="5">
        <f t="shared" si="15"/>
        <v>0.83381339210768002</v>
      </c>
      <c r="U17" s="5">
        <f t="shared" si="16"/>
        <v>1.9039693947974126E-2</v>
      </c>
    </row>
    <row r="18" spans="1:22" x14ac:dyDescent="0.25">
      <c r="A18" s="6">
        <f t="shared" si="1"/>
        <v>46305</v>
      </c>
      <c r="B18" s="5">
        <f t="shared" si="2"/>
        <v>2.6085766423357666</v>
      </c>
      <c r="C18" s="5">
        <f t="shared" si="3"/>
        <v>1.0249999999999999</v>
      </c>
      <c r="D18" s="5">
        <f t="shared" si="0"/>
        <v>0.97437776578978219</v>
      </c>
      <c r="E18" s="5">
        <f t="shared" si="4"/>
        <v>0.99873720993452664</v>
      </c>
      <c r="I18" s="6">
        <f t="shared" si="5"/>
        <v>46305</v>
      </c>
      <c r="J18" s="5">
        <f t="shared" si="6"/>
        <v>2.6083333333333334</v>
      </c>
      <c r="K18" s="5">
        <f t="shared" si="7"/>
        <v>1.0249999999999999</v>
      </c>
      <c r="L18" s="5">
        <f t="shared" si="8"/>
        <v>0.91012919922237068</v>
      </c>
      <c r="M18" s="5">
        <f t="shared" si="9"/>
        <v>0.93288242920292985</v>
      </c>
      <c r="N18" s="5">
        <f t="shared" si="10"/>
        <v>2.3560033962352789E-2</v>
      </c>
      <c r="P18" s="6">
        <f t="shared" si="11"/>
        <v>46305</v>
      </c>
      <c r="Q18" s="5">
        <f t="shared" si="12"/>
        <v>2.6083333333333334</v>
      </c>
      <c r="R18" s="5">
        <f t="shared" si="13"/>
        <v>0.89687499999999987</v>
      </c>
      <c r="S18" s="5">
        <f t="shared" si="14"/>
        <v>0.92252987775599216</v>
      </c>
      <c r="T18" s="5">
        <f t="shared" si="15"/>
        <v>0.82739398411240539</v>
      </c>
      <c r="U18" s="5">
        <f t="shared" si="16"/>
        <v>2.0895913306664123E-2</v>
      </c>
    </row>
    <row r="19" spans="1:22" x14ac:dyDescent="0.25">
      <c r="A19" s="6">
        <f t="shared" si="1"/>
        <v>46397</v>
      </c>
      <c r="B19" s="5">
        <f t="shared" si="2"/>
        <v>2.861054072553046</v>
      </c>
      <c r="C19" s="5">
        <f>4.5/4</f>
        <v>1.125</v>
      </c>
      <c r="D19" s="5">
        <f t="shared" si="0"/>
        <v>0.97193297310460036</v>
      </c>
      <c r="E19" s="5">
        <f t="shared" si="4"/>
        <v>1.0934245947426755</v>
      </c>
      <c r="I19" s="6">
        <f t="shared" si="5"/>
        <v>46397</v>
      </c>
      <c r="J19" s="5">
        <f t="shared" si="6"/>
        <v>2.8583333333333334</v>
      </c>
      <c r="K19" s="5">
        <f>4.5/4</f>
        <v>1.125</v>
      </c>
      <c r="L19" s="5">
        <f t="shared" si="8"/>
        <v>0.90195155610546096</v>
      </c>
      <c r="M19" s="5">
        <f t="shared" si="9"/>
        <v>1.0146955006186436</v>
      </c>
      <c r="N19" s="5">
        <f t="shared" si="10"/>
        <v>2.808241907438944E-2</v>
      </c>
      <c r="P19" s="6">
        <f t="shared" si="11"/>
        <v>46397</v>
      </c>
      <c r="Q19" s="5">
        <f t="shared" si="12"/>
        <v>2.8583333333333334</v>
      </c>
      <c r="R19" s="5">
        <f t="shared" si="13"/>
        <v>0.984375</v>
      </c>
      <c r="S19" s="5">
        <f t="shared" si="14"/>
        <v>0.91542745444497164</v>
      </c>
      <c r="T19" s="5">
        <f t="shared" si="15"/>
        <v>0.90112390046926893</v>
      </c>
      <c r="U19" s="5">
        <f t="shared" si="16"/>
        <v>2.4939244330439928E-2</v>
      </c>
    </row>
    <row r="20" spans="1:22" x14ac:dyDescent="0.25">
      <c r="A20" s="6">
        <f t="shared" si="1"/>
        <v>46487</v>
      </c>
      <c r="B20" s="5">
        <f t="shared" si="2"/>
        <v>3.1074606433949348</v>
      </c>
      <c r="C20" s="5">
        <f t="shared" ref="C20:C25" si="17">4.5/4</f>
        <v>1.125</v>
      </c>
      <c r="D20" s="5">
        <f t="shared" si="0"/>
        <v>0.96955288067164291</v>
      </c>
      <c r="E20" s="5">
        <f t="shared" si="4"/>
        <v>1.0907469907555982</v>
      </c>
      <c r="I20" s="6">
        <f t="shared" si="5"/>
        <v>46487</v>
      </c>
      <c r="J20" s="5">
        <f t="shared" si="6"/>
        <v>3.1083333333333334</v>
      </c>
      <c r="K20" s="5">
        <f t="shared" ref="K20:K25" si="18">4.5/4</f>
        <v>1.125</v>
      </c>
      <c r="L20" s="5">
        <f t="shared" si="8"/>
        <v>0.8938473903003491</v>
      </c>
      <c r="M20" s="5">
        <f t="shared" si="9"/>
        <v>1.0055783140878927</v>
      </c>
      <c r="N20" s="5">
        <f t="shared" si="10"/>
        <v>3.0264213506815133E-2</v>
      </c>
      <c r="P20" s="6">
        <f t="shared" si="11"/>
        <v>46487</v>
      </c>
      <c r="Q20" s="5">
        <f t="shared" si="12"/>
        <v>3.1083333333333334</v>
      </c>
      <c r="R20" s="5">
        <f t="shared" si="13"/>
        <v>0.984375</v>
      </c>
      <c r="S20" s="5">
        <f t="shared" si="14"/>
        <v>0.90837971165769948</v>
      </c>
      <c r="T20" s="5">
        <f t="shared" si="15"/>
        <v>0.8941862786630479</v>
      </c>
      <c r="U20" s="5">
        <f t="shared" si="16"/>
        <v>2.691172241206231E-2</v>
      </c>
    </row>
    <row r="21" spans="1:22" x14ac:dyDescent="0.25">
      <c r="A21" s="6">
        <f t="shared" si="1"/>
        <v>46578</v>
      </c>
      <c r="B21" s="5">
        <f t="shared" si="2"/>
        <v>3.3566050650239561</v>
      </c>
      <c r="C21" s="5">
        <f t="shared" si="17"/>
        <v>1.125</v>
      </c>
      <c r="D21" s="5">
        <f t="shared" si="0"/>
        <v>0.96715226864024739</v>
      </c>
      <c r="E21" s="5">
        <f t="shared" si="4"/>
        <v>1.0880463022202784</v>
      </c>
      <c r="I21" s="6">
        <f t="shared" si="5"/>
        <v>46578</v>
      </c>
      <c r="J21" s="5">
        <f t="shared" si="6"/>
        <v>3.3583333333333334</v>
      </c>
      <c r="K21" s="5">
        <f t="shared" si="18"/>
        <v>1.125</v>
      </c>
      <c r="L21" s="5">
        <f t="shared" si="8"/>
        <v>0.88581604160271066</v>
      </c>
      <c r="M21" s="5">
        <f t="shared" si="9"/>
        <v>0.9965430468030495</v>
      </c>
      <c r="N21" s="5">
        <f t="shared" si="10"/>
        <v>3.2404533285817674E-2</v>
      </c>
      <c r="P21" s="6">
        <f t="shared" si="11"/>
        <v>46578</v>
      </c>
      <c r="Q21" s="5">
        <f t="shared" si="12"/>
        <v>3.3583333333333334</v>
      </c>
      <c r="R21" s="5">
        <f t="shared" si="13"/>
        <v>0.984375</v>
      </c>
      <c r="S21" s="5">
        <f t="shared" si="14"/>
        <v>0.90138622841677818</v>
      </c>
      <c r="T21" s="5">
        <f t="shared" si="15"/>
        <v>0.88730206859776606</v>
      </c>
      <c r="U21" s="5">
        <f t="shared" si="16"/>
        <v>2.8852350642243427E-2</v>
      </c>
    </row>
    <row r="22" spans="1:22" x14ac:dyDescent="0.25">
      <c r="A22" s="6">
        <f t="shared" si="1"/>
        <v>46670</v>
      </c>
      <c r="B22" s="5">
        <f t="shared" si="2"/>
        <v>3.6084873374401094</v>
      </c>
      <c r="C22" s="5">
        <f t="shared" si="17"/>
        <v>1.125</v>
      </c>
      <c r="D22" s="5">
        <f t="shared" si="0"/>
        <v>0.96473131845066185</v>
      </c>
      <c r="E22" s="5">
        <f t="shared" si="4"/>
        <v>1.0853227332569946</v>
      </c>
      <c r="I22" s="6">
        <f t="shared" si="5"/>
        <v>46670</v>
      </c>
      <c r="J22" s="5">
        <f t="shared" si="6"/>
        <v>3.6083333333333334</v>
      </c>
      <c r="K22" s="5">
        <f t="shared" si="18"/>
        <v>1.125</v>
      </c>
      <c r="L22" s="5">
        <f t="shared" si="8"/>
        <v>0.87785685574025307</v>
      </c>
      <c r="M22" s="5">
        <f t="shared" si="9"/>
        <v>0.98758896270778473</v>
      </c>
      <c r="N22" s="5">
        <f t="shared" si="10"/>
        <v>3.450394758052034E-2</v>
      </c>
      <c r="P22" s="6">
        <f t="shared" si="11"/>
        <v>46670</v>
      </c>
      <c r="Q22" s="5">
        <f t="shared" si="12"/>
        <v>3.6083333333333334</v>
      </c>
      <c r="R22" s="5">
        <f t="shared" si="13"/>
        <v>0.984375</v>
      </c>
      <c r="S22" s="5">
        <f t="shared" si="14"/>
        <v>0.89444658698585489</v>
      </c>
      <c r="T22" s="5">
        <f t="shared" si="15"/>
        <v>0.88047085906420086</v>
      </c>
      <c r="U22" s="5">
        <f t="shared" si="16"/>
        <v>3.0761502522295682E-2</v>
      </c>
    </row>
    <row r="23" spans="1:22" x14ac:dyDescent="0.25">
      <c r="A23" s="6">
        <f t="shared" si="1"/>
        <v>46762</v>
      </c>
      <c r="B23" s="5">
        <f t="shared" si="2"/>
        <v>3.8587848932676523</v>
      </c>
      <c r="C23" s="5">
        <f t="shared" si="17"/>
        <v>1.125</v>
      </c>
      <c r="D23" s="5">
        <f t="shared" si="0"/>
        <v>0.96233160268240969</v>
      </c>
      <c r="E23" s="5">
        <f t="shared" si="4"/>
        <v>1.082623053017711</v>
      </c>
      <c r="I23" s="6">
        <f t="shared" si="5"/>
        <v>46762</v>
      </c>
      <c r="J23" s="5">
        <f t="shared" si="6"/>
        <v>3.8583333333333334</v>
      </c>
      <c r="K23" s="5">
        <f t="shared" si="18"/>
        <v>1.125</v>
      </c>
      <c r="L23" s="5">
        <f t="shared" si="8"/>
        <v>0.86996918431941539</v>
      </c>
      <c r="M23" s="5">
        <f t="shared" si="9"/>
        <v>0.97871533235934227</v>
      </c>
      <c r="N23" s="5">
        <f t="shared" si="10"/>
        <v>3.6563018680278253E-2</v>
      </c>
      <c r="P23" s="6">
        <f t="shared" si="11"/>
        <v>46762</v>
      </c>
      <c r="Q23" s="5">
        <f t="shared" si="12"/>
        <v>3.8583333333333334</v>
      </c>
      <c r="R23" s="5">
        <f t="shared" si="13"/>
        <v>0.984375</v>
      </c>
      <c r="S23" s="5">
        <f t="shared" si="14"/>
        <v>0.88756037284466771</v>
      </c>
      <c r="T23" s="5">
        <f t="shared" si="15"/>
        <v>0.87369224201896978</v>
      </c>
      <c r="U23" s="5">
        <f t="shared" si="16"/>
        <v>3.263954769028285E-2</v>
      </c>
    </row>
    <row r="24" spans="1:22" x14ac:dyDescent="0.25">
      <c r="A24" s="6">
        <f t="shared" si="1"/>
        <v>46853</v>
      </c>
      <c r="B24" s="5">
        <f t="shared" si="2"/>
        <v>4.1078270388615215</v>
      </c>
      <c r="C24" s="5">
        <f t="shared" si="17"/>
        <v>1.125</v>
      </c>
      <c r="D24" s="5">
        <f t="shared" si="0"/>
        <v>0.95994984745023981</v>
      </c>
      <c r="E24" s="5">
        <f t="shared" si="4"/>
        <v>1.0799435783815199</v>
      </c>
      <c r="I24" s="6">
        <f t="shared" si="5"/>
        <v>46853</v>
      </c>
      <c r="J24" s="5">
        <f t="shared" si="6"/>
        <v>4.1083333333333334</v>
      </c>
      <c r="K24" s="5">
        <f t="shared" si="18"/>
        <v>1.125</v>
      </c>
      <c r="L24" s="5">
        <f t="shared" si="8"/>
        <v>0.86215238477254708</v>
      </c>
      <c r="M24" s="5">
        <f t="shared" si="9"/>
        <v>0.96992143286911547</v>
      </c>
      <c r="N24" s="5">
        <f t="shared" si="10"/>
        <v>3.858230207235918E-2</v>
      </c>
      <c r="P24" s="6">
        <f t="shared" si="11"/>
        <v>46853</v>
      </c>
      <c r="Q24" s="5">
        <f t="shared" si="12"/>
        <v>4.1083333333333334</v>
      </c>
      <c r="R24" s="5">
        <f t="shared" si="13"/>
        <v>0.984375</v>
      </c>
      <c r="S24" s="5">
        <f t="shared" si="14"/>
        <v>0.88072717466428607</v>
      </c>
      <c r="T24" s="5">
        <f t="shared" si="15"/>
        <v>0.86696581256015659</v>
      </c>
      <c r="U24" s="5">
        <f t="shared" si="16"/>
        <v>3.4486851958366906E-2</v>
      </c>
    </row>
    <row r="25" spans="1:22" x14ac:dyDescent="0.25">
      <c r="A25" s="6">
        <f t="shared" si="1"/>
        <v>46944</v>
      </c>
      <c r="B25" s="5">
        <f t="shared" si="2"/>
        <v>4.356869184455392</v>
      </c>
      <c r="C25" s="5">
        <f t="shared" si="17"/>
        <v>1.125</v>
      </c>
      <c r="D25" s="5">
        <f t="shared" si="0"/>
        <v>0.95757398702394581</v>
      </c>
      <c r="E25" s="5">
        <f t="shared" si="4"/>
        <v>1.0772707354019391</v>
      </c>
      <c r="I25" s="6">
        <f t="shared" si="5"/>
        <v>46944</v>
      </c>
      <c r="J25" s="5">
        <f t="shared" si="6"/>
        <v>4.3583333333333334</v>
      </c>
      <c r="K25" s="5">
        <f t="shared" si="18"/>
        <v>1.125</v>
      </c>
      <c r="L25" s="5">
        <f t="shared" si="8"/>
        <v>0.854405820305561</v>
      </c>
      <c r="M25" s="5">
        <f t="shared" si="9"/>
        <v>0.96120654784375614</v>
      </c>
      <c r="N25" s="5">
        <f t="shared" si="10"/>
        <v>4.0562346518783772E-2</v>
      </c>
      <c r="P25" s="6">
        <f t="shared" si="11"/>
        <v>46944</v>
      </c>
      <c r="Q25" s="5">
        <f t="shared" si="12"/>
        <v>4.3583333333333334</v>
      </c>
      <c r="R25" s="5">
        <f t="shared" si="13"/>
        <v>0.984375</v>
      </c>
      <c r="S25" s="5">
        <f t="shared" si="14"/>
        <v>0.87394658428254113</v>
      </c>
      <c r="T25" s="5">
        <f t="shared" si="15"/>
        <v>0.8602911689031264</v>
      </c>
      <c r="U25" s="5">
        <f t="shared" si="16"/>
        <v>3.6303777349808899E-2</v>
      </c>
    </row>
    <row r="26" spans="1:22" x14ac:dyDescent="0.25">
      <c r="A26" s="6">
        <f t="shared" si="1"/>
        <v>47036</v>
      </c>
      <c r="B26" s="5">
        <f t="shared" si="2"/>
        <v>4.6086480569239194</v>
      </c>
      <c r="C26" s="5">
        <f>4.5/4+100</f>
        <v>101.125</v>
      </c>
      <c r="D26" s="5">
        <f t="shared" si="0"/>
        <v>0.95517799568510586</v>
      </c>
      <c r="E26" s="5">
        <f t="shared" si="4"/>
        <v>96.592374813656335</v>
      </c>
      <c r="I26" s="6">
        <f t="shared" si="5"/>
        <v>47036</v>
      </c>
      <c r="J26" s="5">
        <f t="shared" si="6"/>
        <v>4.6083333333333334</v>
      </c>
      <c r="K26" s="5">
        <f>4.5/4+100</f>
        <v>101.125</v>
      </c>
      <c r="L26" s="5">
        <f t="shared" si="8"/>
        <v>0.84672885984605795</v>
      </c>
      <c r="M26" s="5">
        <f t="shared" si="9"/>
        <v>85.625455951932608</v>
      </c>
      <c r="N26" s="5">
        <f t="shared" si="10"/>
        <v>3.820609839228708</v>
      </c>
      <c r="P26" s="6">
        <f t="shared" si="11"/>
        <v>47036</v>
      </c>
      <c r="Q26" s="5">
        <f t="shared" si="12"/>
        <v>4.6083333333333334</v>
      </c>
      <c r="R26" s="5">
        <f>4.5/4*(1-0.125)+100</f>
        <v>100.984375</v>
      </c>
      <c r="S26" s="5">
        <f t="shared" si="14"/>
        <v>0.86721819667964462</v>
      </c>
      <c r="T26" s="5">
        <f t="shared" si="15"/>
        <v>87.575487580320981</v>
      </c>
      <c r="U26" s="5">
        <f t="shared" si="16"/>
        <v>3.9076202959135773</v>
      </c>
    </row>
    <row r="27" spans="1:22" x14ac:dyDescent="0.25">
      <c r="A27" s="1"/>
      <c r="D27" s="5" t="s">
        <v>8</v>
      </c>
      <c r="E27" s="5">
        <f>+SUM(E8:E26)</f>
        <v>115.31366976244243</v>
      </c>
      <c r="I27" s="1"/>
      <c r="L27" s="5" t="s">
        <v>8</v>
      </c>
      <c r="M27" s="5">
        <f>+SUM(M8:M26)</f>
        <v>103.27949187421208</v>
      </c>
      <c r="N27" s="5"/>
      <c r="P27" s="1"/>
      <c r="S27" s="5" t="s">
        <v>8</v>
      </c>
      <c r="T27" s="5">
        <f>+SUM(T8:T26)</f>
        <v>103.20226800334557</v>
      </c>
      <c r="U27" s="5"/>
    </row>
    <row r="28" spans="1:22" x14ac:dyDescent="0.25">
      <c r="A28" s="1"/>
      <c r="D28" s="5" t="s">
        <v>9</v>
      </c>
      <c r="E28" s="5">
        <f>(B3-B4)/(A8-B4)*1.025</f>
        <v>0.61950549450549441</v>
      </c>
      <c r="I28" s="1"/>
      <c r="L28" s="5" t="s">
        <v>20</v>
      </c>
      <c r="M28" s="10">
        <f>+E28</f>
        <v>0.61950549450549441</v>
      </c>
      <c r="P28" s="1"/>
      <c r="S28" s="5" t="s">
        <v>19</v>
      </c>
      <c r="T28" s="10">
        <f>+M28*(1-0.125)</f>
        <v>0.5420673076923076</v>
      </c>
    </row>
    <row r="29" spans="1:22" x14ac:dyDescent="0.25">
      <c r="A29" s="3"/>
      <c r="D29" s="5" t="s">
        <v>10</v>
      </c>
      <c r="E29" s="5">
        <f>+E27-E28</f>
        <v>114.69416426793694</v>
      </c>
      <c r="L29" s="5" t="s">
        <v>21</v>
      </c>
      <c r="M29" s="5">
        <f>+M27-M28</f>
        <v>102.6599863797066</v>
      </c>
      <c r="S29" s="5" t="s">
        <v>22</v>
      </c>
      <c r="T29" s="5">
        <f>+T27-T28</f>
        <v>102.66020069565326</v>
      </c>
    </row>
    <row r="30" spans="1:22" x14ac:dyDescent="0.25">
      <c r="L30" s="5" t="s">
        <v>15</v>
      </c>
      <c r="M30" s="5">
        <f>+SUM(N8:N26)</f>
        <v>4.2004764191364954</v>
      </c>
    </row>
    <row r="31" spans="1:22" x14ac:dyDescent="0.25">
      <c r="L31" s="5" t="s">
        <v>16</v>
      </c>
      <c r="M31" s="10">
        <f>+M30/(1+J4)</f>
        <v>4.05153139253727</v>
      </c>
    </row>
    <row r="32" spans="1:22" x14ac:dyDescent="0.25"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" x14ac:dyDescent="0.25">
      <c r="B33" s="4"/>
    </row>
    <row r="36" spans="2:2" x14ac:dyDescent="0.25">
      <c r="B36" s="3"/>
    </row>
    <row r="37" spans="2:2" x14ac:dyDescent="0.25">
      <c r="B37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BTP Valore 2028</vt:lpstr>
    </vt:vector>
  </TitlesOfParts>
  <Company>BPER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Giribone Pier Giuseppe</dc:creator>
  <cp:lastModifiedBy>Pier Giuseppe Giribone</cp:lastModifiedBy>
  <dcterms:created xsi:type="dcterms:W3CDTF">2024-03-04T08:35:02Z</dcterms:created>
  <dcterms:modified xsi:type="dcterms:W3CDTF">2025-01-25T18:35:24Z</dcterms:modified>
</cp:coreProperties>
</file>