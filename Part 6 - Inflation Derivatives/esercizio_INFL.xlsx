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3126\Desktop\"/>
    </mc:Choice>
  </mc:AlternateContent>
  <xr:revisionPtr revIDLastSave="0" documentId="13_ncr:1_{3A8F49DB-3A41-40C1-86B8-F506E7861008}" xr6:coauthVersionLast="47" xr6:coauthVersionMax="47" xr10:uidLastSave="{00000000-0000-0000-0000-000000000000}"/>
  <bookViews>
    <workbookView xWindow="-120" yWindow="-120" windowWidth="29040" windowHeight="15720" activeTab="1" xr2:uid="{12E63A2E-9361-42FB-AC91-9B1299FB2A7E}"/>
  </bookViews>
  <sheets>
    <sheet name="es1" sheetId="1" r:id="rId1"/>
    <sheet name="doman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Q4" i="1"/>
  <c r="R4" i="1"/>
  <c r="P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</calcChain>
</file>

<file path=xl/sharedStrings.xml><?xml version="1.0" encoding="utf-8"?>
<sst xmlns="http://schemas.openxmlformats.org/spreadsheetml/2006/main" count="84" uniqueCount="41">
  <si>
    <t>Zero Coupon Curve                   Market Side Mid                                                Type Contributed                                                        Contributor BGN</t>
  </si>
  <si>
    <t xml:space="preserve"> Lag3 Months                                                                    InterpolationMonthly                                                                    Base Index 11/2025  128.68</t>
  </si>
  <si>
    <t>Tenor</t>
  </si>
  <si>
    <t>Contrib…</t>
  </si>
  <si>
    <t>ZC Bid</t>
  </si>
  <si>
    <t>ZC Mid</t>
  </si>
  <si>
    <t>ZC Ask</t>
  </si>
  <si>
    <t>CPI Bid</t>
  </si>
  <si>
    <t>CPI Mid</t>
  </si>
  <si>
    <t>CPI Ask</t>
  </si>
  <si>
    <t>Cvx (bp)</t>
  </si>
  <si>
    <t>1 M</t>
  </si>
  <si>
    <t>BLC</t>
  </si>
  <si>
    <t xml:space="preserve"> </t>
  </si>
  <si>
    <t>2 M</t>
  </si>
  <si>
    <t>3 M</t>
  </si>
  <si>
    <t>4 M</t>
  </si>
  <si>
    <t>5 M</t>
  </si>
  <si>
    <t>6 M</t>
  </si>
  <si>
    <t>7 M</t>
  </si>
  <si>
    <t>8 M</t>
  </si>
  <si>
    <t>9 M</t>
  </si>
  <si>
    <t>10 M</t>
  </si>
  <si>
    <t>11 M</t>
  </si>
  <si>
    <t>1 YR</t>
  </si>
  <si>
    <t>BGN</t>
  </si>
  <si>
    <t>13 M</t>
  </si>
  <si>
    <t>14 M</t>
  </si>
  <si>
    <t>15 M</t>
  </si>
  <si>
    <t>16 M</t>
  </si>
  <si>
    <t>17 M</t>
  </si>
  <si>
    <t>18 M</t>
  </si>
  <si>
    <t>19 M</t>
  </si>
  <si>
    <t>20 M</t>
  </si>
  <si>
    <t>21 M</t>
  </si>
  <si>
    <t>22 M</t>
  </si>
  <si>
    <t>23 M</t>
  </si>
  <si>
    <t>2 YR</t>
  </si>
  <si>
    <t>tau</t>
  </si>
  <si>
    <t>Ref infl I0</t>
  </si>
  <si>
    <t>Tenendo in considerazione l approccio standard di mercato quali sono i principali aspetti positivi e negativi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</si>
</sst>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571500</xdr:colOff>
      <xdr:row>0</xdr:row>
      <xdr:rowOff>0</xdr:rowOff>
    </xdr:from>
    <xdr:to>
      <xdr:col>42</xdr:col>
      <xdr:colOff>192319</xdr:colOff>
      <xdr:row>38</xdr:row>
      <xdr:rowOff>143754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5621BA8-ADB9-846C-5919-A64CD00E5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5550" y="0"/>
          <a:ext cx="13032019" cy="62969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47625</xdr:rowOff>
    </xdr:from>
    <xdr:to>
      <xdr:col>13</xdr:col>
      <xdr:colOff>123825</xdr:colOff>
      <xdr:row>38</xdr:row>
      <xdr:rowOff>61986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FA3C217-595C-E2A2-0201-1BFB7B2B8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29225"/>
          <a:ext cx="8010525" cy="98591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50</xdr:col>
      <xdr:colOff>545468</xdr:colOff>
      <xdr:row>91</xdr:row>
      <xdr:rowOff>124995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9EFB6403-FDB9-3D90-ECC3-3C81BEEDF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63500" y="6477000"/>
          <a:ext cx="18223868" cy="8383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92E3-A820-4A23-8696-9BDAC6142292}">
  <dimension ref="A1:T27"/>
  <sheetViews>
    <sheetView topLeftCell="A2" workbookViewId="0">
      <selection activeCell="C40" sqref="C40"/>
    </sheetView>
  </sheetViews>
  <sheetFormatPr defaultRowHeight="12.75" x14ac:dyDescent="0.2"/>
  <cols>
    <col min="2" max="2" width="9.85546875" customWidth="1"/>
    <col min="3" max="3" width="8.7109375" bestFit="1" customWidth="1"/>
    <col min="4" max="6" width="8.5703125" bestFit="1" customWidth="1"/>
    <col min="7" max="9" width="10" bestFit="1" customWidth="1"/>
    <col min="10" max="10" width="7.7109375" bestFit="1" customWidth="1"/>
    <col min="11" max="11" width="8.5703125" bestFit="1" customWidth="1"/>
    <col min="12" max="12" width="10" bestFit="1" customWidth="1"/>
    <col min="13" max="13" width="8.5703125" bestFit="1" customWidth="1"/>
  </cols>
  <sheetData>
    <row r="1" spans="1:20" x14ac:dyDescent="0.2">
      <c r="B1" t="s">
        <v>0</v>
      </c>
    </row>
    <row r="2" spans="1:20" x14ac:dyDescent="0.2">
      <c r="B2" t="s">
        <v>1</v>
      </c>
    </row>
    <row r="3" spans="1:20" x14ac:dyDescent="0.2">
      <c r="A3" t="s">
        <v>38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20" x14ac:dyDescent="0.2">
      <c r="A4">
        <v>8.3333333333333329E-2</v>
      </c>
      <c r="B4" t="s">
        <v>11</v>
      </c>
      <c r="C4" t="s">
        <v>12</v>
      </c>
      <c r="D4">
        <v>2.1660699999999999</v>
      </c>
      <c r="E4">
        <v>2.1660699999999999</v>
      </c>
      <c r="F4">
        <v>2.1660699999999999</v>
      </c>
      <c r="G4">
        <v>128.88999999999999</v>
      </c>
      <c r="H4">
        <v>128.88999999999999</v>
      </c>
      <c r="I4">
        <v>128.88999999999999</v>
      </c>
      <c r="J4" t="s">
        <v>13</v>
      </c>
      <c r="K4" s="1">
        <v>128.88999999999999</v>
      </c>
      <c r="L4" s="1">
        <v>128.88999999999999</v>
      </c>
      <c r="M4" s="1">
        <v>128.88999999999999</v>
      </c>
      <c r="N4">
        <v>1</v>
      </c>
      <c r="P4" s="1">
        <f>+G4-K4</f>
        <v>0</v>
      </c>
      <c r="Q4" s="1">
        <f t="shared" ref="Q4:R4" si="0">+H4-L4</f>
        <v>0</v>
      </c>
      <c r="R4" s="1">
        <f t="shared" si="0"/>
        <v>0</v>
      </c>
      <c r="S4" t="s">
        <v>39</v>
      </c>
      <c r="T4">
        <v>128.68</v>
      </c>
    </row>
    <row r="5" spans="1:20" x14ac:dyDescent="0.2">
      <c r="A5">
        <v>0.16666666666666666</v>
      </c>
      <c r="B5" t="s">
        <v>14</v>
      </c>
      <c r="C5" t="s">
        <v>12</v>
      </c>
      <c r="D5">
        <v>-2.6487699999999998</v>
      </c>
      <c r="E5">
        <v>-2.3599299999999999</v>
      </c>
      <c r="F5">
        <v>-2.0710899999999999</v>
      </c>
      <c r="G5">
        <v>128.10554999999999</v>
      </c>
      <c r="H5">
        <v>128.16882000000001</v>
      </c>
      <c r="I5">
        <v>128.23194000000001</v>
      </c>
      <c r="J5" t="s">
        <v>13</v>
      </c>
      <c r="K5" s="1">
        <f t="shared" ref="K5:K27" si="1">+$T$4*(1+D5/100)^A5</f>
        <v>128.10555413890836</v>
      </c>
      <c r="L5" s="1">
        <f t="shared" ref="L5:L27" si="2">+$T$4*(1+E5/100)^A5</f>
        <v>128.16882392239467</v>
      </c>
      <c r="M5" s="1">
        <f t="shared" ref="M5:M27" si="3">+$T$4*(1+F5/100)^A5</f>
        <v>128.23193792647035</v>
      </c>
      <c r="N5">
        <v>2</v>
      </c>
      <c r="P5" s="1">
        <f t="shared" ref="P5:P27" si="4">+G5-K5</f>
        <v>-4.1389083662579651E-6</v>
      </c>
      <c r="Q5" s="1">
        <f t="shared" ref="Q5:Q27" si="5">+H5-L5</f>
        <v>-3.9223946544097998E-6</v>
      </c>
      <c r="R5" s="1">
        <f t="shared" ref="R5:R27" si="6">+I5-M5</f>
        <v>2.0735296573093365E-6</v>
      </c>
    </row>
    <row r="6" spans="1:20" x14ac:dyDescent="0.2">
      <c r="A6">
        <v>0.25</v>
      </c>
      <c r="B6" t="s">
        <v>15</v>
      </c>
      <c r="C6" t="s">
        <v>12</v>
      </c>
      <c r="D6">
        <v>0.13136999999999999</v>
      </c>
      <c r="E6">
        <v>0.32891999999999999</v>
      </c>
      <c r="F6">
        <v>0.52646000000000004</v>
      </c>
      <c r="G6">
        <v>128.72224</v>
      </c>
      <c r="H6">
        <v>128.78568000000001</v>
      </c>
      <c r="I6">
        <v>128.84903</v>
      </c>
      <c r="J6" t="s">
        <v>13</v>
      </c>
      <c r="K6" s="1">
        <f t="shared" si="1"/>
        <v>128.72224092522777</v>
      </c>
      <c r="L6" s="1">
        <f t="shared" si="2"/>
        <v>128.78568329811515</v>
      </c>
      <c r="M6" s="1">
        <f t="shared" si="3"/>
        <v>128.8490288460666</v>
      </c>
      <c r="N6">
        <v>3</v>
      </c>
      <c r="P6" s="1">
        <f t="shared" si="4"/>
        <v>-9.2522776640180382E-7</v>
      </c>
      <c r="Q6" s="1">
        <f t="shared" si="5"/>
        <v>-3.2981151321109792E-6</v>
      </c>
      <c r="R6" s="1">
        <f t="shared" si="6"/>
        <v>1.1539333968357823E-6</v>
      </c>
    </row>
    <row r="7" spans="1:20" x14ac:dyDescent="0.2">
      <c r="A7">
        <v>0.33333333333333331</v>
      </c>
      <c r="B7" t="s">
        <v>16</v>
      </c>
      <c r="C7" t="s">
        <v>12</v>
      </c>
      <c r="D7">
        <v>2.3130799999999998</v>
      </c>
      <c r="E7">
        <v>2.4645299999999999</v>
      </c>
      <c r="F7">
        <v>2.6159699999999999</v>
      </c>
      <c r="G7">
        <v>129.66460000000001</v>
      </c>
      <c r="H7">
        <v>129.72855000000001</v>
      </c>
      <c r="I7">
        <v>129.79243</v>
      </c>
      <c r="J7" t="s">
        <v>13</v>
      </c>
      <c r="K7" s="1">
        <f t="shared" si="1"/>
        <v>129.66460413138526</v>
      </c>
      <c r="L7" s="1">
        <f t="shared" si="2"/>
        <v>129.72855171468439</v>
      </c>
      <c r="M7" s="1">
        <f t="shared" si="3"/>
        <v>129.79243210009219</v>
      </c>
      <c r="N7">
        <v>4</v>
      </c>
      <c r="P7" s="1">
        <f t="shared" si="4"/>
        <v>-4.1313852534585749E-6</v>
      </c>
      <c r="Q7" s="1">
        <f t="shared" si="5"/>
        <v>-1.7146843731552508E-6</v>
      </c>
      <c r="R7" s="1">
        <f t="shared" si="6"/>
        <v>-2.10009218903906E-6</v>
      </c>
    </row>
    <row r="8" spans="1:20" x14ac:dyDescent="0.2">
      <c r="A8">
        <v>0.41666666666666669</v>
      </c>
      <c r="B8" t="s">
        <v>17</v>
      </c>
      <c r="C8" t="s">
        <v>12</v>
      </c>
      <c r="D8">
        <v>3.3601000000000001</v>
      </c>
      <c r="E8">
        <v>3.4840300000000002</v>
      </c>
      <c r="F8">
        <v>3.6079599999999998</v>
      </c>
      <c r="G8">
        <v>130.46422000000001</v>
      </c>
      <c r="H8">
        <v>130.52938</v>
      </c>
      <c r="I8">
        <v>130.59449000000001</v>
      </c>
      <c r="J8" t="s">
        <v>13</v>
      </c>
      <c r="K8" s="1">
        <f t="shared" si="1"/>
        <v>130.46422414275614</v>
      </c>
      <c r="L8" s="1">
        <f t="shared" si="2"/>
        <v>130.52937976769266</v>
      </c>
      <c r="M8" s="1">
        <f t="shared" si="3"/>
        <v>130.59448989169937</v>
      </c>
      <c r="N8">
        <v>5</v>
      </c>
      <c r="P8" s="1">
        <f t="shared" si="4"/>
        <v>-4.1427561257023626E-6</v>
      </c>
      <c r="Q8" s="1">
        <f t="shared" si="5"/>
        <v>2.3230734313983703E-7</v>
      </c>
      <c r="R8" s="1">
        <f t="shared" si="6"/>
        <v>1.0830063956746017E-7</v>
      </c>
    </row>
    <row r="9" spans="1:20" x14ac:dyDescent="0.2">
      <c r="A9">
        <v>0.5</v>
      </c>
      <c r="B9" t="s">
        <v>18</v>
      </c>
      <c r="C9" t="s">
        <v>12</v>
      </c>
      <c r="D9">
        <v>3.13056</v>
      </c>
      <c r="E9">
        <v>3.2338100000000001</v>
      </c>
      <c r="F9">
        <v>3.3370700000000002</v>
      </c>
      <c r="G9">
        <v>130.67868000000001</v>
      </c>
      <c r="H9">
        <v>130.74408</v>
      </c>
      <c r="I9">
        <v>130.80945</v>
      </c>
      <c r="J9" t="s">
        <v>13</v>
      </c>
      <c r="K9" s="1">
        <f t="shared" si="1"/>
        <v>130.67868037655356</v>
      </c>
      <c r="L9" s="1">
        <f t="shared" si="2"/>
        <v>130.74407902457932</v>
      </c>
      <c r="M9" s="1">
        <f t="shared" si="3"/>
        <v>130.80945130558297</v>
      </c>
      <c r="N9">
        <v>6</v>
      </c>
      <c r="P9" s="1">
        <f t="shared" si="4"/>
        <v>-3.7655354390153661E-7</v>
      </c>
      <c r="Q9" s="1">
        <f t="shared" si="5"/>
        <v>9.7542067578615388E-7</v>
      </c>
      <c r="R9" s="1">
        <f t="shared" si="6"/>
        <v>-1.3055829697350418E-6</v>
      </c>
    </row>
    <row r="10" spans="1:20" x14ac:dyDescent="0.2">
      <c r="A10">
        <v>0.58333333333333337</v>
      </c>
      <c r="B10" t="s">
        <v>19</v>
      </c>
      <c r="C10" t="s">
        <v>12</v>
      </c>
      <c r="D10">
        <v>3.03965</v>
      </c>
      <c r="E10">
        <v>3.1269300000000002</v>
      </c>
      <c r="F10">
        <v>3.21421</v>
      </c>
      <c r="G10">
        <v>130.94741999999999</v>
      </c>
      <c r="H10">
        <v>131.01211000000001</v>
      </c>
      <c r="I10">
        <v>131.07678000000001</v>
      </c>
      <c r="J10" t="s">
        <v>13</v>
      </c>
      <c r="K10" s="1">
        <f t="shared" si="1"/>
        <v>130.94741741174295</v>
      </c>
      <c r="L10" s="1">
        <f t="shared" si="2"/>
        <v>131.01210895006676</v>
      </c>
      <c r="M10" s="1">
        <f t="shared" si="3"/>
        <v>131.07677767959379</v>
      </c>
      <c r="N10">
        <v>7</v>
      </c>
      <c r="P10" s="1">
        <f t="shared" si="4"/>
        <v>2.588257046909348E-6</v>
      </c>
      <c r="Q10" s="1">
        <f t="shared" si="5"/>
        <v>1.0499332461222366E-6</v>
      </c>
      <c r="R10" s="1">
        <f t="shared" si="6"/>
        <v>2.3204062244985835E-6</v>
      </c>
    </row>
    <row r="11" spans="1:20" x14ac:dyDescent="0.2">
      <c r="A11">
        <v>0.66666666666666663</v>
      </c>
      <c r="B11" t="s">
        <v>20</v>
      </c>
      <c r="C11" t="s">
        <v>12</v>
      </c>
      <c r="D11">
        <v>2.4658699999999998</v>
      </c>
      <c r="E11">
        <v>2.5451299999999999</v>
      </c>
      <c r="F11">
        <v>2.6244000000000001</v>
      </c>
      <c r="G11">
        <v>130.78679</v>
      </c>
      <c r="H11">
        <v>130.85423</v>
      </c>
      <c r="I11">
        <v>130.92165</v>
      </c>
      <c r="J11" t="s">
        <v>13</v>
      </c>
      <c r="K11" s="1">
        <f t="shared" si="1"/>
        <v>130.7867878227963</v>
      </c>
      <c r="L11" s="1">
        <f t="shared" si="2"/>
        <v>130.8542237722593</v>
      </c>
      <c r="M11" s="1">
        <f t="shared" si="3"/>
        <v>130.92165085448832</v>
      </c>
      <c r="N11">
        <v>8</v>
      </c>
      <c r="P11" s="1">
        <f t="shared" si="4"/>
        <v>2.1772036973288778E-6</v>
      </c>
      <c r="Q11" s="1">
        <f t="shared" si="5"/>
        <v>6.2277406982502725E-6</v>
      </c>
      <c r="R11" s="1">
        <f t="shared" si="6"/>
        <v>-8.5448832010115439E-7</v>
      </c>
    </row>
    <row r="12" spans="1:20" x14ac:dyDescent="0.2">
      <c r="A12">
        <v>0.75</v>
      </c>
      <c r="B12" t="s">
        <v>21</v>
      </c>
      <c r="C12" t="s">
        <v>12</v>
      </c>
      <c r="D12">
        <v>2.42008</v>
      </c>
      <c r="E12">
        <v>2.48766</v>
      </c>
      <c r="F12">
        <v>2.55525</v>
      </c>
      <c r="G12">
        <v>131.00862000000001</v>
      </c>
      <c r="H12">
        <v>131.07345000000001</v>
      </c>
      <c r="I12">
        <v>131.13827000000001</v>
      </c>
      <c r="J12" t="s">
        <v>13</v>
      </c>
      <c r="K12" s="1">
        <f t="shared" si="1"/>
        <v>131.00862401742776</v>
      </c>
      <c r="L12" s="1">
        <f t="shared" si="2"/>
        <v>131.07345138901798</v>
      </c>
      <c r="M12" s="1">
        <f t="shared" si="3"/>
        <v>131.13827766506779</v>
      </c>
      <c r="N12">
        <v>9</v>
      </c>
      <c r="P12" s="1">
        <f t="shared" si="4"/>
        <v>-4.0174277557980531E-6</v>
      </c>
      <c r="Q12" s="1">
        <f t="shared" si="5"/>
        <v>-1.3890179673126113E-6</v>
      </c>
      <c r="R12" s="1">
        <f t="shared" si="6"/>
        <v>-7.6650677840461867E-6</v>
      </c>
    </row>
    <row r="13" spans="1:20" x14ac:dyDescent="0.2">
      <c r="A13">
        <v>0.83333333333333337</v>
      </c>
      <c r="B13" t="s">
        <v>22</v>
      </c>
      <c r="C13" t="s">
        <v>12</v>
      </c>
      <c r="D13">
        <v>2.2353299999999998</v>
      </c>
      <c r="E13">
        <v>2.2962899999999999</v>
      </c>
      <c r="F13">
        <v>2.3572600000000001</v>
      </c>
      <c r="G13">
        <v>131.07258999999999</v>
      </c>
      <c r="H13">
        <v>131.13772</v>
      </c>
      <c r="I13">
        <v>131.20285000000001</v>
      </c>
      <c r="J13" t="s">
        <v>13</v>
      </c>
      <c r="K13" s="1">
        <f t="shared" si="1"/>
        <v>131.07259211470378</v>
      </c>
      <c r="L13" s="1">
        <f t="shared" si="2"/>
        <v>131.13771790733009</v>
      </c>
      <c r="M13" s="1">
        <f t="shared" si="3"/>
        <v>131.20284791379999</v>
      </c>
      <c r="N13">
        <v>10</v>
      </c>
      <c r="P13" s="1">
        <f t="shared" si="4"/>
        <v>-2.1147037898572307E-6</v>
      </c>
      <c r="Q13" s="1">
        <f t="shared" si="5"/>
        <v>2.0926699164647289E-6</v>
      </c>
      <c r="R13" s="1">
        <f t="shared" si="6"/>
        <v>2.0862000269517011E-6</v>
      </c>
    </row>
    <row r="14" spans="1:20" x14ac:dyDescent="0.2">
      <c r="A14">
        <v>0.91666666666666663</v>
      </c>
      <c r="B14" t="s">
        <v>23</v>
      </c>
      <c r="C14" t="s">
        <v>12</v>
      </c>
      <c r="D14">
        <v>2.2403200000000001</v>
      </c>
      <c r="E14">
        <v>2.29556</v>
      </c>
      <c r="F14">
        <v>2.3508</v>
      </c>
      <c r="G14">
        <v>131.32015999999999</v>
      </c>
      <c r="H14">
        <v>131.38518999999999</v>
      </c>
      <c r="I14">
        <v>131.45023</v>
      </c>
      <c r="J14" t="s">
        <v>13</v>
      </c>
      <c r="K14" s="1">
        <f t="shared" si="1"/>
        <v>131.32015973602469</v>
      </c>
      <c r="L14" s="1">
        <f t="shared" si="2"/>
        <v>131.38519734042683</v>
      </c>
      <c r="M14" s="1">
        <f t="shared" si="3"/>
        <v>131.45023201818145</v>
      </c>
      <c r="N14">
        <v>11</v>
      </c>
      <c r="P14" s="1">
        <f t="shared" si="4"/>
        <v>2.6397529495625349E-7</v>
      </c>
      <c r="Q14" s="1">
        <f t="shared" si="5"/>
        <v>-7.3404268334797962E-6</v>
      </c>
      <c r="R14" s="1">
        <f t="shared" si="6"/>
        <v>-2.0181814477382432E-6</v>
      </c>
    </row>
    <row r="15" spans="1:20" x14ac:dyDescent="0.2">
      <c r="A15">
        <v>1</v>
      </c>
      <c r="B15" t="s">
        <v>24</v>
      </c>
      <c r="C15" t="s">
        <v>25</v>
      </c>
      <c r="D15">
        <v>1.7466600000000001</v>
      </c>
      <c r="E15">
        <v>1.76</v>
      </c>
      <c r="F15">
        <v>1.7733399999999999</v>
      </c>
      <c r="G15">
        <v>130.92760000000001</v>
      </c>
      <c r="H15">
        <v>130.94477000000001</v>
      </c>
      <c r="I15">
        <v>130.96193</v>
      </c>
      <c r="J15">
        <v>0</v>
      </c>
      <c r="K15" s="1">
        <f t="shared" si="1"/>
        <v>130.92760208800001</v>
      </c>
      <c r="L15" s="1">
        <f t="shared" si="2"/>
        <v>130.94476800000001</v>
      </c>
      <c r="M15" s="1">
        <f t="shared" si="3"/>
        <v>130.96193391200001</v>
      </c>
      <c r="N15">
        <v>12</v>
      </c>
      <c r="P15" s="1">
        <f t="shared" si="4"/>
        <v>-2.0880000022316381E-6</v>
      </c>
      <c r="Q15" s="1">
        <f t="shared" si="5"/>
        <v>1.9999999949504854E-6</v>
      </c>
      <c r="R15" s="1">
        <f t="shared" si="6"/>
        <v>-3.9120000110415276E-6</v>
      </c>
    </row>
    <row r="16" spans="1:20" x14ac:dyDescent="0.2">
      <c r="A16">
        <v>1.0833333333333333</v>
      </c>
      <c r="B16" t="s">
        <v>26</v>
      </c>
      <c r="C16" t="s">
        <v>12</v>
      </c>
      <c r="D16">
        <v>1.7873399999999999</v>
      </c>
      <c r="E16">
        <v>1.83388</v>
      </c>
      <c r="F16">
        <v>1.88042</v>
      </c>
      <c r="G16">
        <v>131.17346000000001</v>
      </c>
      <c r="H16">
        <v>131.23844</v>
      </c>
      <c r="I16">
        <v>131.30341999999999</v>
      </c>
      <c r="J16" t="s">
        <v>13</v>
      </c>
      <c r="K16" s="1">
        <f t="shared" si="1"/>
        <v>131.17345705546748</v>
      </c>
      <c r="L16" s="1">
        <f t="shared" si="2"/>
        <v>131.23843245476994</v>
      </c>
      <c r="M16" s="1">
        <f t="shared" si="3"/>
        <v>131.30341032870135</v>
      </c>
      <c r="N16">
        <v>13</v>
      </c>
      <c r="P16" s="1">
        <f t="shared" si="4"/>
        <v>2.9445325253618648E-6</v>
      </c>
      <c r="Q16" s="1">
        <f t="shared" si="5"/>
        <v>7.5452300620781898E-6</v>
      </c>
      <c r="R16" s="1">
        <f t="shared" si="6"/>
        <v>9.6712986419333902E-6</v>
      </c>
    </row>
    <row r="17" spans="1:18" x14ac:dyDescent="0.2">
      <c r="A17">
        <v>1.1666666666666667</v>
      </c>
      <c r="B17" t="s">
        <v>27</v>
      </c>
      <c r="C17" t="s">
        <v>12</v>
      </c>
      <c r="D17">
        <v>1.1224400000000001</v>
      </c>
      <c r="E17">
        <v>1.17374</v>
      </c>
      <c r="F17">
        <v>1.2250399999999999</v>
      </c>
      <c r="G17">
        <v>130.36664999999999</v>
      </c>
      <c r="H17">
        <v>130.44381000000001</v>
      </c>
      <c r="I17">
        <v>130.52098000000001</v>
      </c>
      <c r="J17" t="s">
        <v>13</v>
      </c>
      <c r="K17" s="1">
        <f t="shared" si="1"/>
        <v>130.36665303744113</v>
      </c>
      <c r="L17" s="1">
        <f t="shared" si="2"/>
        <v>130.44381468415293</v>
      </c>
      <c r="M17" s="1">
        <f t="shared" si="3"/>
        <v>130.52098285192432</v>
      </c>
      <c r="N17">
        <v>14</v>
      </c>
      <c r="P17" s="1">
        <f t="shared" si="4"/>
        <v>-3.0374411323919048E-6</v>
      </c>
      <c r="Q17" s="1">
        <f t="shared" si="5"/>
        <v>-4.684152912659556E-6</v>
      </c>
      <c r="R17" s="1">
        <f t="shared" si="6"/>
        <v>-2.8519243073787948E-6</v>
      </c>
    </row>
    <row r="18" spans="1:18" x14ac:dyDescent="0.2">
      <c r="A18">
        <v>1.25</v>
      </c>
      <c r="B18" t="s">
        <v>28</v>
      </c>
      <c r="C18" t="s">
        <v>12</v>
      </c>
      <c r="D18">
        <v>1.38124</v>
      </c>
      <c r="E18">
        <v>1.4292499999999999</v>
      </c>
      <c r="F18">
        <v>1.4772700000000001</v>
      </c>
      <c r="G18">
        <v>130.90555000000001</v>
      </c>
      <c r="H18">
        <v>130.98304999999999</v>
      </c>
      <c r="I18">
        <v>131.06055000000001</v>
      </c>
      <c r="J18" t="s">
        <v>13</v>
      </c>
      <c r="K18" s="1">
        <f t="shared" si="1"/>
        <v>130.90554729213491</v>
      </c>
      <c r="L18" s="1">
        <f t="shared" si="2"/>
        <v>130.98304125585989</v>
      </c>
      <c r="M18" s="1">
        <f t="shared" si="3"/>
        <v>131.06056053435461</v>
      </c>
      <c r="N18">
        <v>15</v>
      </c>
      <c r="P18" s="1">
        <f t="shared" si="4"/>
        <v>2.7078650930434378E-6</v>
      </c>
      <c r="Q18" s="1">
        <f t="shared" si="5"/>
        <v>8.7441401035448507E-6</v>
      </c>
      <c r="R18" s="1">
        <f t="shared" si="6"/>
        <v>-1.0534354601077212E-5</v>
      </c>
    </row>
    <row r="19" spans="1:18" x14ac:dyDescent="0.2">
      <c r="A19">
        <v>1.3333333333333333</v>
      </c>
      <c r="B19" t="s">
        <v>29</v>
      </c>
      <c r="C19" t="s">
        <v>12</v>
      </c>
      <c r="D19">
        <v>1.9102399999999999</v>
      </c>
      <c r="E19">
        <v>1.9553799999999999</v>
      </c>
      <c r="F19">
        <v>2.0005299999999999</v>
      </c>
      <c r="G19">
        <v>131.96785</v>
      </c>
      <c r="H19">
        <v>132.04580000000001</v>
      </c>
      <c r="I19">
        <v>132.12376</v>
      </c>
      <c r="J19" t="s">
        <v>13</v>
      </c>
      <c r="K19" s="1">
        <f t="shared" si="1"/>
        <v>131.96785306359584</v>
      </c>
      <c r="L19" s="1">
        <f t="shared" si="2"/>
        <v>132.04579706098747</v>
      </c>
      <c r="M19" s="1">
        <f t="shared" si="3"/>
        <v>132.12376983326453</v>
      </c>
      <c r="N19">
        <v>16</v>
      </c>
      <c r="P19" s="1">
        <f t="shared" si="4"/>
        <v>-3.0635958410130115E-6</v>
      </c>
      <c r="Q19" s="1">
        <f t="shared" si="5"/>
        <v>2.9390125462214201E-6</v>
      </c>
      <c r="R19" s="1">
        <f t="shared" si="6"/>
        <v>-9.8332645279697317E-6</v>
      </c>
    </row>
    <row r="20" spans="1:18" x14ac:dyDescent="0.2">
      <c r="A20">
        <v>1.4166666666666667</v>
      </c>
      <c r="B20" t="s">
        <v>30</v>
      </c>
      <c r="C20" t="s">
        <v>12</v>
      </c>
      <c r="D20">
        <v>2.1000700000000001</v>
      </c>
      <c r="E20">
        <v>2.1426599999999998</v>
      </c>
      <c r="F20">
        <v>2.1852499999999999</v>
      </c>
      <c r="G20">
        <v>132.52504999999999</v>
      </c>
      <c r="H20">
        <v>132.60336000000001</v>
      </c>
      <c r="I20">
        <v>132.68170000000001</v>
      </c>
      <c r="J20" t="s">
        <v>13</v>
      </c>
      <c r="K20" s="1">
        <f t="shared" si="1"/>
        <v>132.52503939640198</v>
      </c>
      <c r="L20" s="1">
        <f t="shared" si="2"/>
        <v>132.6033616102776</v>
      </c>
      <c r="M20" s="1">
        <f t="shared" si="3"/>
        <v>132.68169743270548</v>
      </c>
      <c r="N20">
        <v>17</v>
      </c>
      <c r="P20" s="1">
        <f t="shared" si="4"/>
        <v>1.0603598013858573E-5</v>
      </c>
      <c r="Q20" s="1">
        <f t="shared" si="5"/>
        <v>-1.6102775930448843E-6</v>
      </c>
      <c r="R20" s="1">
        <f t="shared" si="6"/>
        <v>2.5672945298538252E-6</v>
      </c>
    </row>
    <row r="21" spans="1:18" x14ac:dyDescent="0.2">
      <c r="A21">
        <v>1.5</v>
      </c>
      <c r="B21" t="s">
        <v>31</v>
      </c>
      <c r="C21" t="s">
        <v>12</v>
      </c>
      <c r="D21">
        <v>2.1319900000000001</v>
      </c>
      <c r="E21">
        <v>2.1721699999999999</v>
      </c>
      <c r="F21">
        <v>2.2123599999999999</v>
      </c>
      <c r="G21">
        <v>132.81702000000001</v>
      </c>
      <c r="H21">
        <v>132.89541</v>
      </c>
      <c r="I21">
        <v>132.97382999999999</v>
      </c>
      <c r="J21" t="s">
        <v>13</v>
      </c>
      <c r="K21" s="1">
        <f t="shared" si="1"/>
        <v>132.81702351478395</v>
      </c>
      <c r="L21" s="1">
        <f t="shared" si="2"/>
        <v>132.89540903591944</v>
      </c>
      <c r="M21" s="1">
        <f t="shared" si="3"/>
        <v>132.97382948577467</v>
      </c>
      <c r="N21">
        <v>18</v>
      </c>
      <c r="P21" s="1">
        <f t="shared" si="4"/>
        <v>-3.5147839412275061E-6</v>
      </c>
      <c r="Q21" s="1">
        <f t="shared" si="5"/>
        <v>9.6408055583196983E-7</v>
      </c>
      <c r="R21" s="1">
        <f t="shared" si="6"/>
        <v>5.1422532010292343E-7</v>
      </c>
    </row>
    <row r="22" spans="1:18" x14ac:dyDescent="0.2">
      <c r="A22">
        <v>1.5833333333333333</v>
      </c>
      <c r="B22" t="s">
        <v>32</v>
      </c>
      <c r="C22" t="s">
        <v>12</v>
      </c>
      <c r="D22">
        <v>2.1543600000000001</v>
      </c>
      <c r="E22">
        <v>2.1926100000000002</v>
      </c>
      <c r="F22">
        <v>2.2308599999999998</v>
      </c>
      <c r="G22">
        <v>133.09687</v>
      </c>
      <c r="H22">
        <v>133.17579000000001</v>
      </c>
      <c r="I22">
        <v>133.25471999999999</v>
      </c>
      <c r="J22" t="s">
        <v>13</v>
      </c>
      <c r="K22" s="1">
        <f t="shared" si="1"/>
        <v>133.09686376653579</v>
      </c>
      <c r="L22" s="1">
        <f t="shared" si="2"/>
        <v>133.17577923397778</v>
      </c>
      <c r="M22" s="1">
        <f t="shared" si="3"/>
        <v>133.25471193352331</v>
      </c>
      <c r="N22">
        <v>19</v>
      </c>
      <c r="P22" s="1">
        <f t="shared" si="4"/>
        <v>6.2334642052519484E-6</v>
      </c>
      <c r="Q22" s="1">
        <f t="shared" si="5"/>
        <v>1.0766022228381189E-5</v>
      </c>
      <c r="R22" s="1">
        <f t="shared" si="6"/>
        <v>8.0664766812788002E-6</v>
      </c>
    </row>
    <row r="23" spans="1:18" x14ac:dyDescent="0.2">
      <c r="A23">
        <v>1.6666666666666667</v>
      </c>
      <c r="B23" t="s">
        <v>33</v>
      </c>
      <c r="C23" t="s">
        <v>12</v>
      </c>
      <c r="D23">
        <v>1.97082</v>
      </c>
      <c r="E23">
        <v>2.0071599999999998</v>
      </c>
      <c r="F23">
        <v>2.0434999999999999</v>
      </c>
      <c r="G23">
        <v>132.93446</v>
      </c>
      <c r="H23">
        <v>133.01343</v>
      </c>
      <c r="I23">
        <v>133.09242</v>
      </c>
      <c r="J23" t="s">
        <v>13</v>
      </c>
      <c r="K23" s="1">
        <f t="shared" si="1"/>
        <v>132.9344587754743</v>
      </c>
      <c r="L23" s="1">
        <f t="shared" si="2"/>
        <v>133.01342600804239</v>
      </c>
      <c r="M23" s="1">
        <f t="shared" si="3"/>
        <v>133.09241199752955</v>
      </c>
      <c r="N23">
        <v>20</v>
      </c>
      <c r="P23" s="1">
        <f t="shared" si="4"/>
        <v>1.2245257039467106E-6</v>
      </c>
      <c r="Q23" s="1">
        <f t="shared" si="5"/>
        <v>3.9919576124702871E-6</v>
      </c>
      <c r="R23" s="1">
        <f t="shared" si="6"/>
        <v>8.0024704516290512E-6</v>
      </c>
    </row>
    <row r="24" spans="1:18" x14ac:dyDescent="0.2">
      <c r="A24">
        <v>1.75</v>
      </c>
      <c r="B24" t="s">
        <v>34</v>
      </c>
      <c r="C24" t="s">
        <v>12</v>
      </c>
      <c r="D24">
        <v>2.02468</v>
      </c>
      <c r="E24">
        <v>2.0597799999999999</v>
      </c>
      <c r="F24">
        <v>2.0948699999999998</v>
      </c>
      <c r="G24">
        <v>133.27394000000001</v>
      </c>
      <c r="H24">
        <v>133.35418000000001</v>
      </c>
      <c r="I24">
        <v>133.43442999999999</v>
      </c>
      <c r="J24" t="s">
        <v>13</v>
      </c>
      <c r="K24" s="1">
        <f t="shared" si="1"/>
        <v>133.2739361477847</v>
      </c>
      <c r="L24" s="1">
        <f t="shared" si="2"/>
        <v>133.35418543298277</v>
      </c>
      <c r="M24" s="1">
        <f t="shared" si="3"/>
        <v>133.43443254822571</v>
      </c>
      <c r="N24">
        <v>21</v>
      </c>
      <c r="P24" s="1">
        <f t="shared" si="4"/>
        <v>3.8522153147368954E-6</v>
      </c>
      <c r="Q24" s="1">
        <f t="shared" si="5"/>
        <v>-5.4329827605670289E-6</v>
      </c>
      <c r="R24" s="1">
        <f t="shared" si="6"/>
        <v>-2.5482257228759408E-6</v>
      </c>
    </row>
    <row r="25" spans="1:18" x14ac:dyDescent="0.2">
      <c r="A25">
        <v>1.8333333333333333</v>
      </c>
      <c r="B25" t="s">
        <v>35</v>
      </c>
      <c r="C25" t="s">
        <v>12</v>
      </c>
      <c r="D25">
        <v>1.92947</v>
      </c>
      <c r="E25">
        <v>1.96516</v>
      </c>
      <c r="F25">
        <v>2.0008499999999998</v>
      </c>
      <c r="G25">
        <v>133.26844</v>
      </c>
      <c r="H25">
        <v>133.35400000000001</v>
      </c>
      <c r="I25">
        <v>133.43959000000001</v>
      </c>
      <c r="J25" t="s">
        <v>13</v>
      </c>
      <c r="K25" s="1">
        <f t="shared" si="1"/>
        <v>133.26843261021858</v>
      </c>
      <c r="L25" s="1">
        <f t="shared" si="2"/>
        <v>133.35399420316693</v>
      </c>
      <c r="M25" s="1">
        <f t="shared" si="3"/>
        <v>133.43958075675459</v>
      </c>
      <c r="N25">
        <v>22</v>
      </c>
      <c r="P25" s="1">
        <f t="shared" si="4"/>
        <v>7.389781416122787E-6</v>
      </c>
      <c r="Q25" s="1">
        <f t="shared" si="5"/>
        <v>5.7968330793300993E-6</v>
      </c>
      <c r="R25" s="1">
        <f t="shared" si="6"/>
        <v>9.2432454152913124E-6</v>
      </c>
    </row>
    <row r="26" spans="1:18" x14ac:dyDescent="0.2">
      <c r="A26">
        <v>1.9166666666666667</v>
      </c>
      <c r="B26" t="s">
        <v>36</v>
      </c>
      <c r="C26" t="s">
        <v>12</v>
      </c>
      <c r="D26">
        <v>1.9676800000000001</v>
      </c>
      <c r="E26">
        <v>2.00075</v>
      </c>
      <c r="F26">
        <v>2.03382</v>
      </c>
      <c r="G26">
        <v>133.57677000000001</v>
      </c>
      <c r="H26">
        <v>133.65980999999999</v>
      </c>
      <c r="I26">
        <v>133.74288000000001</v>
      </c>
      <c r="J26" t="s">
        <v>13</v>
      </c>
      <c r="K26" s="1">
        <f t="shared" si="1"/>
        <v>133.57676369288586</v>
      </c>
      <c r="L26" s="1">
        <f t="shared" si="2"/>
        <v>133.6598087359321</v>
      </c>
      <c r="M26" s="1">
        <f t="shared" si="3"/>
        <v>133.74287846326186</v>
      </c>
      <c r="N26">
        <v>23</v>
      </c>
      <c r="P26" s="1">
        <f t="shared" si="4"/>
        <v>6.307114148285109E-6</v>
      </c>
      <c r="Q26" s="1">
        <f t="shared" si="5"/>
        <v>1.2640678903608205E-6</v>
      </c>
      <c r="R26" s="1">
        <f t="shared" si="6"/>
        <v>1.5367381536179892E-6</v>
      </c>
    </row>
    <row r="27" spans="1:18" x14ac:dyDescent="0.2">
      <c r="A27">
        <v>2</v>
      </c>
      <c r="B27" t="s">
        <v>37</v>
      </c>
      <c r="C27" t="s">
        <v>25</v>
      </c>
      <c r="D27">
        <v>1.7304900000000001</v>
      </c>
      <c r="E27">
        <v>1.7504</v>
      </c>
      <c r="F27">
        <v>1.7703100000000001</v>
      </c>
      <c r="G27">
        <v>133.17212000000001</v>
      </c>
      <c r="H27">
        <v>133.22425999999999</v>
      </c>
      <c r="I27">
        <v>133.27641</v>
      </c>
      <c r="J27">
        <v>0</v>
      </c>
      <c r="K27" s="1">
        <f t="shared" si="1"/>
        <v>133.17212352069683</v>
      </c>
      <c r="L27" s="1">
        <f t="shared" si="2"/>
        <v>133.22425570725889</v>
      </c>
      <c r="M27" s="1">
        <f t="shared" si="3"/>
        <v>133.27639809577985</v>
      </c>
      <c r="N27">
        <v>24</v>
      </c>
      <c r="P27" s="1">
        <f t="shared" si="4"/>
        <v>-3.5206968220791168E-6</v>
      </c>
      <c r="Q27" s="1">
        <f t="shared" si="5"/>
        <v>4.2927410959237022E-6</v>
      </c>
      <c r="R27" s="1">
        <f t="shared" si="6"/>
        <v>1.1904220144742794E-5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87A8-A5A3-4696-9C96-19EBE1DFC5C0}">
  <dimension ref="A2"/>
  <sheetViews>
    <sheetView tabSelected="1" workbookViewId="0">
      <selection activeCell="H9" sqref="H9"/>
    </sheetView>
  </sheetViews>
  <sheetFormatPr defaultRowHeight="12.75" x14ac:dyDescent="0.2"/>
  <sheetData>
    <row r="2" spans="1:1" x14ac:dyDescent="0.2">
      <c r="A2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F5B2587544134E86921B76C4B0EEF0" ma:contentTypeVersion="13" ma:contentTypeDescription="Create a new document." ma:contentTypeScope="" ma:versionID="b0194cb482fc64ef055d8f6a973d6428">
  <xsd:schema xmlns:xsd="http://www.w3.org/2001/XMLSchema" xmlns:xs="http://www.w3.org/2001/XMLSchema" xmlns:p="http://schemas.microsoft.com/office/2006/metadata/properties" xmlns:ns3="6cb3de3b-0b38-42b5-be47-29d22d0a05cf" xmlns:ns4="c8fb3397-b175-4fe2-af32-9299edadb828" targetNamespace="http://schemas.microsoft.com/office/2006/metadata/properties" ma:root="true" ma:fieldsID="e440d2f9c904d1c8a135ff67e457f1f8" ns3:_="" ns4:_="">
    <xsd:import namespace="6cb3de3b-0b38-42b5-be47-29d22d0a05cf"/>
    <xsd:import namespace="c8fb3397-b175-4fe2-af32-9299edadb82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3de3b-0b38-42b5-be47-29d22d0a0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b3397-b175-4fe2-af32-9299edadb8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b3de3b-0b38-42b5-be47-29d22d0a05cf" xsi:nil="true"/>
  </documentManagement>
</p:properties>
</file>

<file path=customXml/itemProps1.xml><?xml version="1.0" encoding="utf-8"?>
<ds:datastoreItem xmlns:ds="http://schemas.openxmlformats.org/officeDocument/2006/customXml" ds:itemID="{7C6937F8-B760-474F-9C49-B588648CB4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b3de3b-0b38-42b5-be47-29d22d0a05cf"/>
    <ds:schemaRef ds:uri="c8fb3397-b175-4fe2-af32-9299edadb8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62F72D-A79A-4464-94F9-32B47686C3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C8538F-385C-4901-89EB-751E44181C3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8fb3397-b175-4fe2-af32-9299edadb828"/>
    <ds:schemaRef ds:uri="6cb3de3b-0b38-42b5-be47-29d22d0a05c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es1</vt:lpstr>
      <vt:lpstr>domanda</vt:lpstr>
    </vt:vector>
  </TitlesOfParts>
  <Company>BPER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Giribone Pier Giuseppe</dc:creator>
  <cp:lastModifiedBy>Giribone Pier Giuseppe</cp:lastModifiedBy>
  <dcterms:created xsi:type="dcterms:W3CDTF">2026-02-23T15:02:58Z</dcterms:created>
  <dcterms:modified xsi:type="dcterms:W3CDTF">2026-02-23T15:11:34Z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0x010100B1F5B2587544134E86921B76C4B0EEF0</vt:lpwstr>
  </property>
</Properties>
</file>